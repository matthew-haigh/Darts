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matthew_haigh_northumbria_ac_uk/Documents/Darts stats 26_27/"/>
    </mc:Choice>
  </mc:AlternateContent>
  <xr:revisionPtr revIDLastSave="467" documentId="13_ncr:1_{A548E091-66FB-4CC8-9AF3-D8F9763DD490}" xr6:coauthVersionLast="47" xr6:coauthVersionMax="47" xr10:uidLastSave="{C994A8F8-8349-4D7D-ADEC-478A70506BF9}"/>
  <bookViews>
    <workbookView xWindow="-120" yWindow="-120" windowWidth="29040" windowHeight="15720" xr2:uid="{671F733F-72D7-476C-A8D6-9E6C4068A91D}"/>
  </bookViews>
  <sheets>
    <sheet name="Master" sheetId="3" r:id="rId1"/>
    <sheet name="Scores Sor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2" i="3"/>
  <c r="Z3" i="3"/>
  <c r="AA3" i="3" s="1"/>
  <c r="Z4" i="3"/>
  <c r="AA4" i="3" s="1"/>
  <c r="Z5" i="3"/>
  <c r="AA5" i="3" s="1"/>
  <c r="Z6" i="3"/>
  <c r="AA6" i="3" s="1"/>
  <c r="Z7" i="3"/>
  <c r="AA7" i="3" s="1"/>
  <c r="Z8" i="3"/>
  <c r="AA8" i="3" s="1"/>
  <c r="Z9" i="3"/>
  <c r="AA9" i="3" s="1"/>
  <c r="Z10" i="3"/>
  <c r="AA10" i="3" s="1"/>
  <c r="Z11" i="3"/>
  <c r="AA11" i="3" s="1"/>
  <c r="Z12" i="3"/>
  <c r="AA12" i="3" s="1"/>
  <c r="Z13" i="3"/>
  <c r="AA13" i="3" s="1"/>
  <c r="Z14" i="3"/>
  <c r="AA14" i="3" s="1"/>
  <c r="Z15" i="3"/>
  <c r="AA15" i="3" s="1"/>
  <c r="Z16" i="3"/>
  <c r="AA16" i="3" s="1"/>
  <c r="Z17" i="3"/>
  <c r="AA17" i="3" s="1"/>
  <c r="Z18" i="3"/>
  <c r="AA18" i="3" s="1"/>
  <c r="Z19" i="3"/>
  <c r="AA19" i="3" s="1"/>
  <c r="Z20" i="3"/>
  <c r="AA20" i="3" s="1"/>
  <c r="AD20" i="3" s="1"/>
  <c r="Z21" i="3"/>
  <c r="AA21" i="3" s="1"/>
  <c r="AD21" i="3" s="1"/>
  <c r="Z22" i="3"/>
  <c r="AA22" i="3" s="1"/>
  <c r="AD22" i="3" s="1"/>
  <c r="Z23" i="3"/>
  <c r="AA23" i="3" s="1"/>
  <c r="AD23" i="3" s="1"/>
  <c r="Z24" i="3"/>
  <c r="AA24" i="3" s="1"/>
  <c r="AD24" i="3" s="1"/>
  <c r="Z25" i="3"/>
  <c r="AA25" i="3" s="1"/>
  <c r="AD25" i="3" s="1"/>
  <c r="Z26" i="3"/>
  <c r="AA26" i="3" s="1"/>
  <c r="Z27" i="3"/>
  <c r="AA27" i="3" s="1"/>
  <c r="Z28" i="3"/>
  <c r="AA28" i="3" s="1"/>
  <c r="Z29" i="3"/>
  <c r="AA29" i="3" s="1"/>
  <c r="Z30" i="3"/>
  <c r="AA30" i="3" s="1"/>
  <c r="Z31" i="3"/>
  <c r="AA31" i="3" s="1"/>
  <c r="Z32" i="3"/>
  <c r="AA32" i="3" s="1"/>
  <c r="Z33" i="3"/>
  <c r="AA33" i="3" s="1"/>
  <c r="Z34" i="3"/>
  <c r="AA34" i="3" s="1"/>
  <c r="Z35" i="3"/>
  <c r="AA35" i="3" s="1"/>
  <c r="Z36" i="3"/>
  <c r="AA36" i="3" s="1"/>
  <c r="Z37" i="3"/>
  <c r="AA37" i="3" s="1"/>
  <c r="Z38" i="3"/>
  <c r="AA38" i="3" s="1"/>
  <c r="Z39" i="3"/>
  <c r="AA39" i="3" s="1"/>
  <c r="Z40" i="3"/>
  <c r="AA40" i="3" s="1"/>
  <c r="Z41" i="3"/>
  <c r="AA41" i="3" s="1"/>
  <c r="Z42" i="3"/>
  <c r="AA42" i="3" s="1"/>
  <c r="Z43" i="3"/>
  <c r="AA43" i="3" s="1"/>
  <c r="Z44" i="3"/>
  <c r="AA44" i="3" s="1"/>
  <c r="Z45" i="3"/>
  <c r="AA45" i="3" s="1"/>
  <c r="Z46" i="3"/>
  <c r="AA46" i="3" s="1"/>
  <c r="Z47" i="3"/>
  <c r="AA47" i="3" s="1"/>
  <c r="Z48" i="3"/>
  <c r="AA48" i="3" s="1"/>
  <c r="Z49" i="3"/>
  <c r="AA49" i="3" s="1"/>
  <c r="Z50" i="3"/>
  <c r="AA50" i="3" s="1"/>
  <c r="Z51" i="3"/>
  <c r="AA51" i="3" s="1"/>
  <c r="Z52" i="3"/>
  <c r="AA52" i="3" s="1"/>
  <c r="Z53" i="3"/>
  <c r="AA53" i="3" s="1"/>
  <c r="Z54" i="3"/>
  <c r="AA54" i="3" s="1"/>
  <c r="Z55" i="3"/>
  <c r="AA55" i="3" s="1"/>
  <c r="Z56" i="3"/>
  <c r="AA56" i="3" s="1"/>
  <c r="Z57" i="3"/>
  <c r="AA57" i="3" s="1"/>
  <c r="Z58" i="3"/>
  <c r="AA58" i="3" s="1"/>
  <c r="Z59" i="3"/>
  <c r="AA59" i="3" s="1"/>
  <c r="Z60" i="3"/>
  <c r="AA60" i="3" s="1"/>
  <c r="Z61" i="3"/>
  <c r="AA61" i="3" s="1"/>
  <c r="Z62" i="3"/>
  <c r="AA62" i="3" s="1"/>
  <c r="Z63" i="3"/>
  <c r="AA63" i="3" s="1"/>
  <c r="Z64" i="3"/>
  <c r="AA64" i="3" s="1"/>
  <c r="Z65" i="3"/>
  <c r="AA65" i="3" s="1"/>
  <c r="Z66" i="3"/>
  <c r="AA66" i="3" s="1"/>
  <c r="Z67" i="3"/>
  <c r="AA67" i="3" s="1"/>
  <c r="Z68" i="3"/>
  <c r="AA68" i="3" s="1"/>
  <c r="Z69" i="3"/>
  <c r="AA69" i="3" s="1"/>
  <c r="Z70" i="3"/>
  <c r="AA70" i="3" s="1"/>
  <c r="Z71" i="3"/>
  <c r="AA71" i="3" s="1"/>
  <c r="Z72" i="3"/>
  <c r="AA72" i="3" s="1"/>
  <c r="Z73" i="3"/>
  <c r="AA73" i="3" s="1"/>
  <c r="Z74" i="3"/>
  <c r="AA74" i="3" s="1"/>
  <c r="Z75" i="3"/>
  <c r="AA75" i="3" s="1"/>
  <c r="Z76" i="3"/>
  <c r="AA76" i="3" s="1"/>
  <c r="Z77" i="3"/>
  <c r="AA77" i="3" s="1"/>
  <c r="Z78" i="3"/>
  <c r="AA78" i="3" s="1"/>
  <c r="Z79" i="3"/>
  <c r="AA79" i="3" s="1"/>
  <c r="Z80" i="3"/>
  <c r="AA80" i="3" s="1"/>
  <c r="Z81" i="3"/>
  <c r="AA81" i="3" s="1"/>
  <c r="Z82" i="3"/>
  <c r="AA82" i="3" s="1"/>
  <c r="Z83" i="3"/>
  <c r="AA83" i="3" s="1"/>
  <c r="Z84" i="3"/>
  <c r="AA84" i="3" s="1"/>
  <c r="Z85" i="3"/>
  <c r="AA85" i="3" s="1"/>
  <c r="Z86" i="3"/>
  <c r="AA86" i="3" s="1"/>
  <c r="Z87" i="3"/>
  <c r="AA87" i="3" s="1"/>
  <c r="Z88" i="3"/>
  <c r="AA88" i="3" s="1"/>
  <c r="Z89" i="3"/>
  <c r="AA89" i="3" s="1"/>
  <c r="Z90" i="3"/>
  <c r="AA90" i="3" s="1"/>
  <c r="Z91" i="3"/>
  <c r="AA91" i="3" s="1"/>
  <c r="Z92" i="3"/>
  <c r="AA92" i="3" s="1"/>
  <c r="Z93" i="3"/>
  <c r="AA93" i="3" s="1"/>
  <c r="Z94" i="3"/>
  <c r="AA94" i="3" s="1"/>
  <c r="Z95" i="3"/>
  <c r="AA95" i="3" s="1"/>
  <c r="Z96" i="3"/>
  <c r="AA96" i="3" s="1"/>
  <c r="Z97" i="3"/>
  <c r="AA97" i="3" s="1"/>
  <c r="Z98" i="3"/>
  <c r="AA98" i="3" s="1"/>
  <c r="Z99" i="3"/>
  <c r="AA99" i="3" s="1"/>
  <c r="Z100" i="3"/>
  <c r="AA100" i="3" s="1"/>
  <c r="Z101" i="3"/>
  <c r="AA101" i="3" s="1"/>
  <c r="Z102" i="3"/>
  <c r="AA102" i="3" s="1"/>
  <c r="Z103" i="3"/>
  <c r="AA103" i="3" s="1"/>
  <c r="Z104" i="3"/>
  <c r="AA104" i="3" s="1"/>
  <c r="Z105" i="3"/>
  <c r="AA105" i="3" s="1"/>
  <c r="Z106" i="3"/>
  <c r="AA106" i="3" s="1"/>
  <c r="Z107" i="3"/>
  <c r="AA107" i="3" s="1"/>
  <c r="Z108" i="3"/>
  <c r="AA108" i="3" s="1"/>
  <c r="Z109" i="3"/>
  <c r="AA109" i="3" s="1"/>
  <c r="Z110" i="3"/>
  <c r="AA110" i="3" s="1"/>
  <c r="Z111" i="3"/>
  <c r="AA111" i="3" s="1"/>
  <c r="Z112" i="3"/>
  <c r="AA112" i="3" s="1"/>
  <c r="Z113" i="3"/>
  <c r="AA113" i="3" s="1"/>
  <c r="Z114" i="3"/>
  <c r="AA114" i="3" s="1"/>
  <c r="Z115" i="3"/>
  <c r="AA115" i="3" s="1"/>
  <c r="Z116" i="3"/>
  <c r="AA116" i="3" s="1"/>
  <c r="Z117" i="3"/>
  <c r="AA117" i="3" s="1"/>
  <c r="Z118" i="3"/>
  <c r="AA118" i="3" s="1"/>
  <c r="Z119" i="3"/>
  <c r="AA119" i="3" s="1"/>
  <c r="Z120" i="3"/>
  <c r="AA120" i="3" s="1"/>
  <c r="Z121" i="3"/>
  <c r="AA121" i="3" s="1"/>
  <c r="Z122" i="3"/>
  <c r="AA122" i="3" s="1"/>
  <c r="Z123" i="3"/>
  <c r="AA123" i="3" s="1"/>
  <c r="Z124" i="3"/>
  <c r="AA124" i="3" s="1"/>
  <c r="Z125" i="3"/>
  <c r="AA125" i="3" s="1"/>
  <c r="Z126" i="3"/>
  <c r="AA126" i="3" s="1"/>
  <c r="Z127" i="3"/>
  <c r="AA127" i="3" s="1"/>
  <c r="Z128" i="3"/>
  <c r="AA128" i="3" s="1"/>
  <c r="Z129" i="3"/>
  <c r="AA129" i="3" s="1"/>
  <c r="Z130" i="3"/>
  <c r="AA130" i="3" s="1"/>
  <c r="Z131" i="3"/>
  <c r="AA131" i="3" s="1"/>
  <c r="Z132" i="3"/>
  <c r="AA132" i="3" s="1"/>
  <c r="Z133" i="3"/>
  <c r="AA133" i="3" s="1"/>
  <c r="Z134" i="3"/>
  <c r="AA134" i="3" s="1"/>
  <c r="Z135" i="3"/>
  <c r="AA135" i="3" s="1"/>
  <c r="Z136" i="3"/>
  <c r="AA136" i="3" s="1"/>
  <c r="Z137" i="3"/>
  <c r="AA137" i="3" s="1"/>
  <c r="Z138" i="3"/>
  <c r="AA138" i="3" s="1"/>
  <c r="Z139" i="3"/>
  <c r="AA139" i="3" s="1"/>
  <c r="Z140" i="3"/>
  <c r="AA140" i="3" s="1"/>
  <c r="Z141" i="3"/>
  <c r="AA141" i="3" s="1"/>
  <c r="Z142" i="3"/>
  <c r="AA142" i="3" s="1"/>
  <c r="Z143" i="3"/>
  <c r="AA143" i="3" s="1"/>
  <c r="Z144" i="3"/>
  <c r="AA144" i="3" s="1"/>
  <c r="Z145" i="3"/>
  <c r="AA145" i="3" s="1"/>
  <c r="Z146" i="3"/>
  <c r="AA146" i="3" s="1"/>
  <c r="Z147" i="3"/>
  <c r="AA147" i="3" s="1"/>
  <c r="Z148" i="3"/>
  <c r="AA148" i="3" s="1"/>
  <c r="Z149" i="3"/>
  <c r="AA149" i="3" s="1"/>
  <c r="Z150" i="3"/>
  <c r="AA150" i="3" s="1"/>
  <c r="Z151" i="3"/>
  <c r="AA151" i="3" s="1"/>
  <c r="Z152" i="3"/>
  <c r="AA152" i="3" s="1"/>
  <c r="Z153" i="3"/>
  <c r="AA153" i="3" s="1"/>
  <c r="Z154" i="3"/>
  <c r="AA154" i="3" s="1"/>
  <c r="Z155" i="3"/>
  <c r="AA155" i="3" s="1"/>
  <c r="Z156" i="3"/>
  <c r="AA156" i="3" s="1"/>
  <c r="Z157" i="3"/>
  <c r="AA157" i="3" s="1"/>
  <c r="Z2" i="3"/>
  <c r="AA2" i="3" s="1"/>
</calcChain>
</file>

<file path=xl/sharedStrings.xml><?xml version="1.0" encoding="utf-8"?>
<sst xmlns="http://schemas.openxmlformats.org/spreadsheetml/2006/main" count="855" uniqueCount="74">
  <si>
    <t>Venue</t>
  </si>
  <si>
    <t>Player</t>
  </si>
  <si>
    <t>Ton 1</t>
  </si>
  <si>
    <t>Ton 2</t>
  </si>
  <si>
    <t>Ton 3</t>
  </si>
  <si>
    <t>Ton 4</t>
  </si>
  <si>
    <t>Ton 5</t>
  </si>
  <si>
    <t>Ton 6</t>
  </si>
  <si>
    <t>Ton 7</t>
  </si>
  <si>
    <t>Ton 8</t>
  </si>
  <si>
    <t>Ton 9</t>
  </si>
  <si>
    <t>Ton 10</t>
  </si>
  <si>
    <t>Red Lion</t>
  </si>
  <si>
    <t>Away</t>
  </si>
  <si>
    <t>Snooker A</t>
  </si>
  <si>
    <t>Home</t>
  </si>
  <si>
    <t>Hunting Lodge</t>
  </si>
  <si>
    <t>Fat Ox</t>
  </si>
  <si>
    <t>Chris A</t>
  </si>
  <si>
    <t>Dave H</t>
  </si>
  <si>
    <t>Rod F</t>
  </si>
  <si>
    <t>Ian B</t>
  </si>
  <si>
    <t>Dave K</t>
  </si>
  <si>
    <t>Matthew H</t>
  </si>
  <si>
    <t>Colin M</t>
  </si>
  <si>
    <t>Dan C</t>
  </si>
  <si>
    <t>Mark B</t>
  </si>
  <si>
    <t>Opposition</t>
  </si>
  <si>
    <t>Week</t>
  </si>
  <si>
    <t>NO GAME</t>
  </si>
  <si>
    <t>Seahorse B</t>
  </si>
  <si>
    <t>Border Terrier</t>
  </si>
  <si>
    <t>New York</t>
  </si>
  <si>
    <t>Snooker B</t>
  </si>
  <si>
    <t>Seahorse A</t>
  </si>
  <si>
    <t>Preston Grange</t>
  </si>
  <si>
    <t>Phoenix Tap</t>
  </si>
  <si>
    <t>Seahorse C</t>
  </si>
  <si>
    <t>Checkout 1</t>
  </si>
  <si>
    <t>Checkout  2</t>
  </si>
  <si>
    <t>Checkout 3</t>
  </si>
  <si>
    <t>Checkout 4</t>
  </si>
  <si>
    <t>Threes</t>
  </si>
  <si>
    <t>Pairs</t>
  </si>
  <si>
    <t>Singles</t>
  </si>
  <si>
    <t>Threes weighted</t>
  </si>
  <si>
    <t>Pairs weighted</t>
  </si>
  <si>
    <t>Singles weighted</t>
  </si>
  <si>
    <t>N Tons</t>
  </si>
  <si>
    <t>Ton Bonus</t>
  </si>
  <si>
    <t>SCORE</t>
  </si>
  <si>
    <t>180 bonus</t>
  </si>
  <si>
    <t>Singles 1-2 loss</t>
  </si>
  <si>
    <t>Singles 2-1 win</t>
  </si>
  <si>
    <t>Singles 2-0 win</t>
  </si>
  <si>
    <t>Ton</t>
  </si>
  <si>
    <t>Ton checkout</t>
  </si>
  <si>
    <t>Notes</t>
  </si>
  <si>
    <t>one leg win= 1 point</t>
  </si>
  <si>
    <t>two leg wins = 2 points</t>
  </si>
  <si>
    <t>2 points + 1 bonus point</t>
  </si>
  <si>
    <t>0.1 points per ton</t>
  </si>
  <si>
    <t>0.5 points per 180</t>
  </si>
  <si>
    <t>0.5 points per ton checkout</t>
  </si>
  <si>
    <t>2-0 Bonus point</t>
  </si>
  <si>
    <t xml:space="preserve">100 + Checkout bonus </t>
  </si>
  <si>
    <t>MVP score</t>
  </si>
  <si>
    <t>One point split three ways</t>
  </si>
  <si>
    <t>One point split two ways</t>
  </si>
  <si>
    <t>One Eighty</t>
  </si>
  <si>
    <t>Threes leg win</t>
  </si>
  <si>
    <t>Doubles leg win</t>
  </si>
  <si>
    <t>MVP Points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</si>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</sst>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3" borderId="0" xfId="0" applyFont="1" applyFill="1"/>
    <xf numFmtId="0" fontId="0" fillId="3" borderId="2" xfId="0" applyFill="1" applyBorder="1"/>
    <xf numFmtId="0" fontId="0" fillId="3" borderId="1" xfId="0" applyFill="1" applyBorder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2" fillId="0" borderId="0" xfId="0" applyFont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0" fillId="0" borderId="12" xfId="0" applyBorder="1"/>
    <xf numFmtId="0" fontId="3" fillId="3" borderId="1" xfId="0" applyFont="1" applyFill="1" applyBorder="1"/>
    <xf numFmtId="0" fontId="0" fillId="5" borderId="0" xfId="0" applyFill="1"/>
    <xf numFmtId="0" fontId="0" fillId="2" borderId="9" xfId="0" applyFill="1" applyBorder="1"/>
    <xf numFmtId="0" fontId="0" fillId="3" borderId="9" xfId="0" applyFill="1" applyBorder="1"/>
    <xf numFmtId="0" fontId="0" fillId="5" borderId="9" xfId="0" applyFill="1" applyBorder="1"/>
    <xf numFmtId="0" fontId="0" fillId="6" borderId="0" xfId="0" applyFill="1"/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/>
    <xf numFmtId="0" fontId="3" fillId="3" borderId="0" xfId="0" applyFont="1" applyFill="1"/>
    <xf numFmtId="0" fontId="3" fillId="4" borderId="0" xfId="0" applyFont="1" applyFill="1"/>
    <xf numFmtId="0" fontId="0" fillId="7" borderId="0" xfId="0" applyFill="1"/>
    <xf numFmtId="0" fontId="0" fillId="4" borderId="9" xfId="0" applyFill="1" applyBorder="1"/>
    <xf numFmtId="0" fontId="0" fillId="0" borderId="0" xfId="0" applyFill="1"/>
    <xf numFmtId="0" fontId="0" fillId="0" borderId="9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9D0-28DE-4C4A-BA2F-B93E7DC29E0D}">
  <dimension ref="A1:AK157"/>
  <sheetViews>
    <sheetView tabSelected="1" workbookViewId="0">
      <selection activeCell="AI22" sqref="AI22"/>
    </sheetView>
  </sheetViews>
  <sheetFormatPr defaultRowHeight="15" x14ac:dyDescent="0.25"/>
  <cols>
    <col min="4" max="4" width="10.42578125" customWidth="1"/>
    <col min="8" max="8" width="10.85546875" customWidth="1"/>
    <col min="9" max="10" width="9.140625" customWidth="1"/>
    <col min="11" max="11" width="11.42578125" customWidth="1"/>
    <col min="13" max="13" width="9.140625" customWidth="1"/>
    <col min="25" max="25" width="9.140625" style="25"/>
    <col min="29" max="29" width="9.140625" style="25"/>
    <col min="30" max="30" width="11.85546875" customWidth="1"/>
    <col min="31" max="31" width="10.140625" customWidth="1"/>
    <col min="34" max="34" width="14.7109375" customWidth="1"/>
    <col min="35" max="35" width="12.7109375" customWidth="1"/>
    <col min="36" max="36" width="28.42578125" customWidth="1"/>
  </cols>
  <sheetData>
    <row r="1" spans="1:37" x14ac:dyDescent="0.25">
      <c r="A1" s="1" t="s">
        <v>28</v>
      </c>
      <c r="B1" s="1" t="s">
        <v>27</v>
      </c>
      <c r="C1" s="1" t="s">
        <v>0</v>
      </c>
      <c r="D1" s="1" t="s">
        <v>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64</v>
      </c>
      <c r="L1" s="1" t="s">
        <v>38</v>
      </c>
      <c r="M1" s="1" t="s">
        <v>39</v>
      </c>
      <c r="N1" s="1" t="s">
        <v>40</v>
      </c>
      <c r="O1" s="26" t="s">
        <v>41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26" t="s">
        <v>11</v>
      </c>
      <c r="Z1" s="1" t="s">
        <v>48</v>
      </c>
      <c r="AA1" s="1" t="s">
        <v>49</v>
      </c>
      <c r="AB1" s="1" t="s">
        <v>51</v>
      </c>
      <c r="AC1" s="26" t="s">
        <v>65</v>
      </c>
      <c r="AD1" s="1" t="s">
        <v>66</v>
      </c>
      <c r="AH1" s="23"/>
      <c r="AI1" s="35" t="s">
        <v>72</v>
      </c>
      <c r="AJ1" s="36" t="s">
        <v>57</v>
      </c>
    </row>
    <row r="2" spans="1:37" x14ac:dyDescent="0.25">
      <c r="A2" s="2">
        <v>1</v>
      </c>
      <c r="B2" s="2" t="s">
        <v>12</v>
      </c>
      <c r="C2" s="2" t="s">
        <v>13</v>
      </c>
      <c r="D2" s="2" t="s">
        <v>18</v>
      </c>
      <c r="E2" s="3">
        <v>0</v>
      </c>
      <c r="F2" s="3">
        <v>1</v>
      </c>
      <c r="G2" s="6">
        <v>0</v>
      </c>
      <c r="H2" s="12">
        <v>0</v>
      </c>
      <c r="I2" s="12">
        <v>0.5</v>
      </c>
      <c r="J2" s="13">
        <v>0</v>
      </c>
      <c r="K2" s="14">
        <v>0</v>
      </c>
      <c r="L2" s="2">
        <v>0</v>
      </c>
      <c r="M2" s="2"/>
      <c r="N2" s="2"/>
      <c r="O2" s="31"/>
      <c r="P2" s="2"/>
      <c r="Q2" s="2"/>
      <c r="R2" s="2"/>
      <c r="S2" s="2"/>
      <c r="T2" s="2"/>
      <c r="U2" s="2"/>
      <c r="V2" s="2"/>
      <c r="W2" s="2"/>
      <c r="X2" s="2"/>
      <c r="Y2" s="31"/>
      <c r="Z2" s="14">
        <f>COUNTA(P2:Y2)</f>
        <v>0</v>
      </c>
      <c r="AA2" s="14">
        <f>(Z2*0.1)</f>
        <v>0</v>
      </c>
      <c r="AB2" s="14">
        <v>0</v>
      </c>
      <c r="AC2" s="32">
        <v>0</v>
      </c>
      <c r="AD2" s="14">
        <f>(H2+I2+J2+K2+AA2+AB2+AC2)</f>
        <v>0.5</v>
      </c>
      <c r="AE2" s="2" t="s">
        <v>18</v>
      </c>
      <c r="AH2" s="24" t="s">
        <v>70</v>
      </c>
      <c r="AI2" s="1">
        <v>0.33</v>
      </c>
      <c r="AJ2" s="25" t="s">
        <v>67</v>
      </c>
    </row>
    <row r="3" spans="1:37" x14ac:dyDescent="0.25">
      <c r="A3" s="2">
        <v>1</v>
      </c>
      <c r="B3" s="2" t="s">
        <v>12</v>
      </c>
      <c r="C3" s="2" t="s">
        <v>13</v>
      </c>
      <c r="D3" s="2" t="s">
        <v>19</v>
      </c>
      <c r="E3" s="4">
        <v>0</v>
      </c>
      <c r="F3" s="5">
        <v>1</v>
      </c>
      <c r="G3" s="6">
        <v>2</v>
      </c>
      <c r="H3" s="15">
        <v>0</v>
      </c>
      <c r="I3" s="16">
        <v>0.5</v>
      </c>
      <c r="J3" s="29">
        <v>2</v>
      </c>
      <c r="K3" s="38">
        <v>1</v>
      </c>
      <c r="L3" s="2">
        <v>0</v>
      </c>
      <c r="M3" s="2"/>
      <c r="N3" s="2"/>
      <c r="O3" s="31"/>
      <c r="P3" s="2"/>
      <c r="Q3" s="2"/>
      <c r="R3" s="2"/>
      <c r="S3" s="2"/>
      <c r="T3" s="2"/>
      <c r="U3" s="2"/>
      <c r="V3" s="2"/>
      <c r="W3" s="2"/>
      <c r="X3" s="2"/>
      <c r="Y3" s="31"/>
      <c r="Z3" s="14">
        <f t="shared" ref="Z3:Z66" si="0">COUNTA(P3:Y3)</f>
        <v>0</v>
      </c>
      <c r="AA3" s="14">
        <f t="shared" ref="AA3:AA66" si="1">(Z3*0.1)</f>
        <v>0</v>
      </c>
      <c r="AB3" s="14">
        <v>0</v>
      </c>
      <c r="AC3" s="32">
        <v>0</v>
      </c>
      <c r="AD3" s="34">
        <f t="shared" ref="AD3:AD66" si="2">(H3+I3+J3+K3+AA3+AB3+AC3)</f>
        <v>3.5</v>
      </c>
      <c r="AE3" s="34" t="s">
        <v>19</v>
      </c>
      <c r="AH3" s="24" t="s">
        <v>71</v>
      </c>
      <c r="AI3" s="1">
        <v>0.5</v>
      </c>
      <c r="AJ3" s="25" t="s">
        <v>68</v>
      </c>
    </row>
    <row r="4" spans="1:37" x14ac:dyDescent="0.25">
      <c r="A4" s="2">
        <v>1</v>
      </c>
      <c r="B4" s="2" t="s">
        <v>12</v>
      </c>
      <c r="C4" s="2" t="s">
        <v>13</v>
      </c>
      <c r="D4" s="2" t="s">
        <v>20</v>
      </c>
      <c r="E4" s="5">
        <v>0</v>
      </c>
      <c r="F4" s="3">
        <v>0</v>
      </c>
      <c r="G4" s="6">
        <v>1</v>
      </c>
      <c r="H4" s="16">
        <v>0</v>
      </c>
      <c r="I4" s="12">
        <v>0</v>
      </c>
      <c r="J4" s="29">
        <v>1</v>
      </c>
      <c r="K4" s="38">
        <v>0</v>
      </c>
      <c r="L4" s="2">
        <v>0</v>
      </c>
      <c r="M4" s="2"/>
      <c r="N4" s="2"/>
      <c r="O4" s="31"/>
      <c r="P4" s="2">
        <v>100</v>
      </c>
      <c r="Q4" s="2">
        <v>100</v>
      </c>
      <c r="R4" s="2"/>
      <c r="S4" s="2"/>
      <c r="T4" s="2"/>
      <c r="U4" s="2"/>
      <c r="V4" s="2"/>
      <c r="W4" s="2"/>
      <c r="X4" s="2"/>
      <c r="Y4" s="31"/>
      <c r="Z4" s="14">
        <f t="shared" si="0"/>
        <v>2</v>
      </c>
      <c r="AA4" s="14">
        <f t="shared" si="1"/>
        <v>0.2</v>
      </c>
      <c r="AB4" s="14">
        <v>0</v>
      </c>
      <c r="AC4" s="32">
        <v>0</v>
      </c>
      <c r="AD4" s="14">
        <f t="shared" si="2"/>
        <v>1.2</v>
      </c>
      <c r="AE4" s="2" t="s">
        <v>20</v>
      </c>
      <c r="AH4" s="24" t="s">
        <v>52</v>
      </c>
      <c r="AI4" s="1">
        <v>1</v>
      </c>
      <c r="AJ4" s="25" t="s">
        <v>58</v>
      </c>
    </row>
    <row r="5" spans="1:37" x14ac:dyDescent="0.25">
      <c r="A5" s="2">
        <v>1</v>
      </c>
      <c r="B5" s="2" t="s">
        <v>12</v>
      </c>
      <c r="C5" s="2" t="s">
        <v>13</v>
      </c>
      <c r="D5" s="2" t="s">
        <v>21</v>
      </c>
      <c r="E5" s="3">
        <v>0</v>
      </c>
      <c r="F5" s="5">
        <v>0</v>
      </c>
      <c r="G5" s="6">
        <v>1</v>
      </c>
      <c r="H5" s="12">
        <v>0</v>
      </c>
      <c r="I5" s="16">
        <v>0</v>
      </c>
      <c r="J5" s="29">
        <v>1</v>
      </c>
      <c r="K5" s="38">
        <v>0</v>
      </c>
      <c r="L5" s="2">
        <v>0</v>
      </c>
      <c r="M5" s="2"/>
      <c r="N5" s="2"/>
      <c r="O5" s="31"/>
      <c r="P5" s="2">
        <v>140</v>
      </c>
      <c r="Q5" s="2">
        <v>100</v>
      </c>
      <c r="R5" s="2">
        <v>140</v>
      </c>
      <c r="S5" s="2">
        <v>121</v>
      </c>
      <c r="T5" s="2"/>
      <c r="U5" s="2"/>
      <c r="V5" s="2"/>
      <c r="W5" s="2"/>
      <c r="X5" s="2"/>
      <c r="Y5" s="31"/>
      <c r="Z5" s="14">
        <f t="shared" si="0"/>
        <v>4</v>
      </c>
      <c r="AA5" s="14">
        <f t="shared" si="1"/>
        <v>0.4</v>
      </c>
      <c r="AB5" s="14">
        <v>0</v>
      </c>
      <c r="AC5" s="32">
        <v>0</v>
      </c>
      <c r="AD5" s="14">
        <f t="shared" si="2"/>
        <v>1.4</v>
      </c>
      <c r="AE5" s="2" t="s">
        <v>21</v>
      </c>
      <c r="AH5" s="24" t="s">
        <v>53</v>
      </c>
      <c r="AI5" s="1">
        <v>2</v>
      </c>
      <c r="AJ5" s="25" t="s">
        <v>59</v>
      </c>
    </row>
    <row r="6" spans="1:37" x14ac:dyDescent="0.25">
      <c r="A6" s="2">
        <v>1</v>
      </c>
      <c r="B6" s="2" t="s">
        <v>12</v>
      </c>
      <c r="C6" s="2" t="s">
        <v>13</v>
      </c>
      <c r="D6" s="2" t="s">
        <v>22</v>
      </c>
      <c r="E6" s="4">
        <v>0</v>
      </c>
      <c r="F6" s="3">
        <v>1</v>
      </c>
      <c r="G6" s="6">
        <v>2</v>
      </c>
      <c r="H6" s="15">
        <v>0</v>
      </c>
      <c r="I6" s="12">
        <v>0.5</v>
      </c>
      <c r="J6" s="29">
        <v>2</v>
      </c>
      <c r="K6" s="38">
        <v>0</v>
      </c>
      <c r="L6" s="2">
        <v>0</v>
      </c>
      <c r="M6" s="2"/>
      <c r="N6" s="2"/>
      <c r="O6" s="31"/>
      <c r="P6" s="2">
        <v>100</v>
      </c>
      <c r="Q6" s="2">
        <v>100</v>
      </c>
      <c r="R6" s="2"/>
      <c r="S6" s="2"/>
      <c r="T6" s="2"/>
      <c r="U6" s="2"/>
      <c r="V6" s="2"/>
      <c r="W6" s="2"/>
      <c r="X6" s="2"/>
      <c r="Y6" s="31"/>
      <c r="Z6" s="14">
        <f t="shared" si="0"/>
        <v>2</v>
      </c>
      <c r="AA6" s="14">
        <f t="shared" si="1"/>
        <v>0.2</v>
      </c>
      <c r="AB6" s="14">
        <v>0</v>
      </c>
      <c r="AC6" s="32">
        <v>0</v>
      </c>
      <c r="AD6" s="14">
        <f t="shared" si="2"/>
        <v>2.7</v>
      </c>
      <c r="AE6" s="2" t="s">
        <v>22</v>
      </c>
      <c r="AH6" s="24" t="s">
        <v>54</v>
      </c>
      <c r="AI6" s="1">
        <v>3</v>
      </c>
      <c r="AJ6" s="25" t="s">
        <v>60</v>
      </c>
    </row>
    <row r="7" spans="1:37" x14ac:dyDescent="0.25">
      <c r="A7" s="2">
        <v>1</v>
      </c>
      <c r="B7" s="2" t="s">
        <v>12</v>
      </c>
      <c r="C7" s="2" t="s">
        <v>13</v>
      </c>
      <c r="D7" s="2" t="s">
        <v>23</v>
      </c>
      <c r="E7" s="5">
        <v>0</v>
      </c>
      <c r="F7" s="5">
        <v>1</v>
      </c>
      <c r="G7" s="6">
        <v>0</v>
      </c>
      <c r="H7" s="16">
        <v>0</v>
      </c>
      <c r="I7" s="16">
        <v>0.5</v>
      </c>
      <c r="J7" s="13">
        <v>0</v>
      </c>
      <c r="K7" s="38">
        <v>0</v>
      </c>
      <c r="L7" s="2">
        <v>0</v>
      </c>
      <c r="M7" s="2"/>
      <c r="N7" s="2"/>
      <c r="O7" s="31"/>
      <c r="P7" s="2">
        <v>100</v>
      </c>
      <c r="Q7" s="2"/>
      <c r="R7" s="2"/>
      <c r="S7" s="2"/>
      <c r="T7" s="2"/>
      <c r="U7" s="2"/>
      <c r="V7" s="2"/>
      <c r="W7" s="2"/>
      <c r="X7" s="2"/>
      <c r="Y7" s="31"/>
      <c r="Z7" s="14">
        <f t="shared" si="0"/>
        <v>1</v>
      </c>
      <c r="AA7" s="14">
        <f t="shared" si="1"/>
        <v>0.1</v>
      </c>
      <c r="AB7" s="14">
        <v>0</v>
      </c>
      <c r="AC7" s="32">
        <v>0</v>
      </c>
      <c r="AD7" s="14">
        <f t="shared" si="2"/>
        <v>0.6</v>
      </c>
      <c r="AE7" s="2" t="s">
        <v>23</v>
      </c>
      <c r="AF7" s="1"/>
      <c r="AG7" s="1"/>
      <c r="AH7" s="24" t="s">
        <v>55</v>
      </c>
      <c r="AI7" s="1">
        <v>0.1</v>
      </c>
      <c r="AJ7" s="25" t="s">
        <v>61</v>
      </c>
      <c r="AK7" s="1"/>
    </row>
    <row r="8" spans="1:37" x14ac:dyDescent="0.25">
      <c r="A8">
        <v>2</v>
      </c>
      <c r="B8" t="s">
        <v>14</v>
      </c>
      <c r="C8" t="s">
        <v>15</v>
      </c>
      <c r="D8" t="s">
        <v>24</v>
      </c>
      <c r="E8" s="7">
        <v>0</v>
      </c>
      <c r="F8" s="7">
        <v>0</v>
      </c>
      <c r="G8" s="8">
        <v>0</v>
      </c>
      <c r="H8" s="17">
        <v>0</v>
      </c>
      <c r="I8" s="17">
        <v>0</v>
      </c>
      <c r="J8" s="18">
        <v>0</v>
      </c>
      <c r="K8" s="39">
        <v>0</v>
      </c>
      <c r="L8">
        <v>0</v>
      </c>
      <c r="O8" s="25"/>
      <c r="Z8" s="19">
        <f t="shared" si="0"/>
        <v>0</v>
      </c>
      <c r="AA8" s="19">
        <f t="shared" si="1"/>
        <v>0</v>
      </c>
      <c r="AB8" s="30">
        <v>0</v>
      </c>
      <c r="AC8" s="33">
        <v>0</v>
      </c>
      <c r="AD8" s="19">
        <f t="shared" si="2"/>
        <v>0</v>
      </c>
      <c r="AE8" t="s">
        <v>24</v>
      </c>
      <c r="AH8" s="24" t="s">
        <v>69</v>
      </c>
      <c r="AI8" s="1">
        <v>0.5</v>
      </c>
      <c r="AJ8" s="25" t="s">
        <v>62</v>
      </c>
      <c r="AK8" s="22"/>
    </row>
    <row r="9" spans="1:37" x14ac:dyDescent="0.25">
      <c r="A9">
        <v>2</v>
      </c>
      <c r="B9" t="s">
        <v>14</v>
      </c>
      <c r="C9" t="s">
        <v>15</v>
      </c>
      <c r="D9" t="s">
        <v>19</v>
      </c>
      <c r="E9" s="9">
        <v>0</v>
      </c>
      <c r="F9" s="10">
        <v>0</v>
      </c>
      <c r="G9" s="8">
        <v>0</v>
      </c>
      <c r="H9" s="20">
        <v>0</v>
      </c>
      <c r="I9" s="21">
        <v>0</v>
      </c>
      <c r="J9" s="18">
        <v>0</v>
      </c>
      <c r="K9" s="39">
        <v>0</v>
      </c>
      <c r="L9">
        <v>0</v>
      </c>
      <c r="O9" s="25"/>
      <c r="P9">
        <v>114</v>
      </c>
      <c r="Z9" s="19">
        <f t="shared" si="0"/>
        <v>1</v>
      </c>
      <c r="AA9" s="19">
        <f t="shared" si="1"/>
        <v>0.1</v>
      </c>
      <c r="AB9" s="30">
        <v>0</v>
      </c>
      <c r="AC9" s="33">
        <v>0</v>
      </c>
      <c r="AD9" s="19">
        <f t="shared" si="2"/>
        <v>0.1</v>
      </c>
      <c r="AE9" t="s">
        <v>19</v>
      </c>
      <c r="AH9" s="27" t="s">
        <v>56</v>
      </c>
      <c r="AI9" s="37">
        <v>0.5</v>
      </c>
      <c r="AJ9" s="28" t="s">
        <v>63</v>
      </c>
    </row>
    <row r="10" spans="1:37" x14ac:dyDescent="0.25">
      <c r="A10">
        <v>2</v>
      </c>
      <c r="B10" t="s">
        <v>14</v>
      </c>
      <c r="C10" t="s">
        <v>15</v>
      </c>
      <c r="D10" t="s">
        <v>23</v>
      </c>
      <c r="E10" s="10">
        <v>0</v>
      </c>
      <c r="F10" s="7">
        <v>0</v>
      </c>
      <c r="G10" s="8">
        <v>0</v>
      </c>
      <c r="H10" s="21">
        <v>0</v>
      </c>
      <c r="I10" s="17">
        <v>0</v>
      </c>
      <c r="J10" s="18">
        <v>0</v>
      </c>
      <c r="K10" s="39">
        <v>0</v>
      </c>
      <c r="L10">
        <v>0</v>
      </c>
      <c r="O10" s="25"/>
      <c r="P10">
        <v>100</v>
      </c>
      <c r="Q10">
        <v>100</v>
      </c>
      <c r="R10">
        <v>121</v>
      </c>
      <c r="Z10" s="19">
        <f t="shared" si="0"/>
        <v>3</v>
      </c>
      <c r="AA10" s="19">
        <f t="shared" si="1"/>
        <v>0.30000000000000004</v>
      </c>
      <c r="AB10" s="30">
        <v>0</v>
      </c>
      <c r="AC10" s="33">
        <v>0</v>
      </c>
      <c r="AD10" s="19">
        <f t="shared" si="2"/>
        <v>0.30000000000000004</v>
      </c>
      <c r="AE10" t="s">
        <v>23</v>
      </c>
    </row>
    <row r="11" spans="1:37" x14ac:dyDescent="0.25">
      <c r="A11">
        <v>2</v>
      </c>
      <c r="B11" t="s">
        <v>14</v>
      </c>
      <c r="C11" t="s">
        <v>15</v>
      </c>
      <c r="D11" t="s">
        <v>20</v>
      </c>
      <c r="E11" s="7">
        <v>1</v>
      </c>
      <c r="F11" s="10">
        <v>0</v>
      </c>
      <c r="G11" s="8">
        <v>2</v>
      </c>
      <c r="H11" s="17">
        <v>0.33</v>
      </c>
      <c r="I11" s="21">
        <v>0</v>
      </c>
      <c r="J11" s="18">
        <v>2</v>
      </c>
      <c r="K11" s="39">
        <v>1</v>
      </c>
      <c r="L11">
        <v>0</v>
      </c>
      <c r="O11" s="25"/>
      <c r="P11">
        <v>100</v>
      </c>
      <c r="Q11">
        <v>100</v>
      </c>
      <c r="R11">
        <v>100</v>
      </c>
      <c r="S11">
        <v>100</v>
      </c>
      <c r="Z11" s="19">
        <f t="shared" si="0"/>
        <v>4</v>
      </c>
      <c r="AA11" s="19">
        <f t="shared" si="1"/>
        <v>0.4</v>
      </c>
      <c r="AB11" s="30">
        <v>0</v>
      </c>
      <c r="AC11" s="33">
        <v>0</v>
      </c>
      <c r="AD11" s="19">
        <f t="shared" si="2"/>
        <v>3.73</v>
      </c>
      <c r="AE11" t="s">
        <v>20</v>
      </c>
    </row>
    <row r="12" spans="1:37" x14ac:dyDescent="0.25">
      <c r="A12">
        <v>2</v>
      </c>
      <c r="B12" t="s">
        <v>14</v>
      </c>
      <c r="C12" t="s">
        <v>15</v>
      </c>
      <c r="D12" t="s">
        <v>21</v>
      </c>
      <c r="E12" s="9">
        <v>1</v>
      </c>
      <c r="F12" s="7">
        <v>1</v>
      </c>
      <c r="G12" s="8">
        <v>2</v>
      </c>
      <c r="H12" s="20">
        <v>0.33</v>
      </c>
      <c r="I12" s="17">
        <v>0.5</v>
      </c>
      <c r="J12" s="18">
        <v>2</v>
      </c>
      <c r="K12" s="39">
        <v>1</v>
      </c>
      <c r="L12">
        <v>0</v>
      </c>
      <c r="O12" s="25"/>
      <c r="P12">
        <v>100</v>
      </c>
      <c r="Q12">
        <v>140</v>
      </c>
      <c r="R12">
        <v>100</v>
      </c>
      <c r="S12">
        <v>100</v>
      </c>
      <c r="T12">
        <v>125</v>
      </c>
      <c r="U12">
        <v>100</v>
      </c>
      <c r="Z12" s="19">
        <f t="shared" si="0"/>
        <v>6</v>
      </c>
      <c r="AA12" s="19">
        <f t="shared" si="1"/>
        <v>0.60000000000000009</v>
      </c>
      <c r="AB12" s="30">
        <v>0</v>
      </c>
      <c r="AC12" s="33">
        <v>0</v>
      </c>
      <c r="AD12" s="34">
        <f t="shared" si="2"/>
        <v>4.43</v>
      </c>
      <c r="AE12" s="34" t="s">
        <v>21</v>
      </c>
    </row>
    <row r="13" spans="1:37" x14ac:dyDescent="0.25">
      <c r="A13">
        <v>2</v>
      </c>
      <c r="B13" t="s">
        <v>14</v>
      </c>
      <c r="C13" t="s">
        <v>15</v>
      </c>
      <c r="D13" t="s">
        <v>25</v>
      </c>
      <c r="E13" s="10">
        <v>1</v>
      </c>
      <c r="F13" s="10">
        <v>1</v>
      </c>
      <c r="G13" s="8">
        <v>1</v>
      </c>
      <c r="H13" s="21">
        <v>0.33</v>
      </c>
      <c r="I13" s="21">
        <v>0.5</v>
      </c>
      <c r="J13" s="18">
        <v>1</v>
      </c>
      <c r="K13" s="19">
        <v>0</v>
      </c>
      <c r="L13">
        <v>72</v>
      </c>
      <c r="O13" s="25"/>
      <c r="P13">
        <v>125</v>
      </c>
      <c r="Q13">
        <v>139</v>
      </c>
      <c r="R13">
        <v>140</v>
      </c>
      <c r="S13">
        <v>102</v>
      </c>
      <c r="Z13" s="19">
        <f t="shared" si="0"/>
        <v>4</v>
      </c>
      <c r="AA13" s="19">
        <f t="shared" si="1"/>
        <v>0.4</v>
      </c>
      <c r="AB13" s="30">
        <v>0</v>
      </c>
      <c r="AC13" s="33">
        <v>0</v>
      </c>
      <c r="AD13" s="19">
        <f t="shared" si="2"/>
        <v>2.23</v>
      </c>
      <c r="AE13" t="s">
        <v>25</v>
      </c>
    </row>
    <row r="14" spans="1:37" x14ac:dyDescent="0.25">
      <c r="A14" s="2">
        <v>3</v>
      </c>
      <c r="B14" s="2" t="s">
        <v>16</v>
      </c>
      <c r="C14" s="2" t="s">
        <v>13</v>
      </c>
      <c r="D14" s="2" t="s">
        <v>24</v>
      </c>
      <c r="E14" s="3">
        <v>0</v>
      </c>
      <c r="F14" s="3">
        <v>0</v>
      </c>
      <c r="G14" s="6">
        <v>0</v>
      </c>
      <c r="H14" s="12">
        <v>0</v>
      </c>
      <c r="I14" s="12">
        <v>0</v>
      </c>
      <c r="J14" s="13">
        <v>0</v>
      </c>
      <c r="K14" s="14">
        <v>0</v>
      </c>
      <c r="L14" s="2">
        <v>0</v>
      </c>
      <c r="M14" s="2"/>
      <c r="N14" s="2"/>
      <c r="O14" s="31"/>
      <c r="P14" s="2">
        <v>114</v>
      </c>
      <c r="Q14" s="2"/>
      <c r="R14" s="2"/>
      <c r="S14" s="2"/>
      <c r="T14" s="2"/>
      <c r="U14" s="2"/>
      <c r="V14" s="2"/>
      <c r="W14" s="2"/>
      <c r="X14" s="2"/>
      <c r="Y14" s="31"/>
      <c r="Z14" s="14">
        <f t="shared" si="0"/>
        <v>1</v>
      </c>
      <c r="AA14" s="14">
        <f t="shared" si="1"/>
        <v>0.1</v>
      </c>
      <c r="AB14" s="14">
        <v>0</v>
      </c>
      <c r="AC14" s="32">
        <v>0</v>
      </c>
      <c r="AD14" s="14">
        <f t="shared" si="2"/>
        <v>0.1</v>
      </c>
      <c r="AE14" s="2" t="s">
        <v>24</v>
      </c>
    </row>
    <row r="15" spans="1:37" x14ac:dyDescent="0.25">
      <c r="A15" s="2">
        <v>3</v>
      </c>
      <c r="B15" s="2" t="s">
        <v>16</v>
      </c>
      <c r="C15" s="2" t="s">
        <v>13</v>
      </c>
      <c r="D15" s="2" t="s">
        <v>22</v>
      </c>
      <c r="E15" s="4">
        <v>0</v>
      </c>
      <c r="F15" s="5">
        <v>0</v>
      </c>
      <c r="G15" s="6">
        <v>1</v>
      </c>
      <c r="H15" s="15">
        <v>0</v>
      </c>
      <c r="I15" s="16">
        <v>0</v>
      </c>
      <c r="J15" s="13">
        <v>1</v>
      </c>
      <c r="K15" s="14">
        <v>0</v>
      </c>
      <c r="L15" s="2">
        <v>0</v>
      </c>
      <c r="M15" s="2"/>
      <c r="N15" s="2"/>
      <c r="O15" s="31"/>
      <c r="P15" s="2">
        <v>100</v>
      </c>
      <c r="Q15" s="2">
        <v>100</v>
      </c>
      <c r="R15" s="2">
        <v>121</v>
      </c>
      <c r="S15" s="2"/>
      <c r="T15" s="2"/>
      <c r="U15" s="2"/>
      <c r="V15" s="2"/>
      <c r="W15" s="2"/>
      <c r="X15" s="2"/>
      <c r="Y15" s="31"/>
      <c r="Z15" s="14">
        <f t="shared" si="0"/>
        <v>3</v>
      </c>
      <c r="AA15" s="14">
        <f t="shared" si="1"/>
        <v>0.30000000000000004</v>
      </c>
      <c r="AB15" s="14">
        <v>0</v>
      </c>
      <c r="AC15" s="32">
        <v>0</v>
      </c>
      <c r="AD15" s="14">
        <f t="shared" si="2"/>
        <v>1.3</v>
      </c>
      <c r="AE15" s="2" t="s">
        <v>22</v>
      </c>
    </row>
    <row r="16" spans="1:37" x14ac:dyDescent="0.25">
      <c r="A16" s="2">
        <v>3</v>
      </c>
      <c r="B16" s="2" t="s">
        <v>16</v>
      </c>
      <c r="C16" s="2" t="s">
        <v>13</v>
      </c>
      <c r="D16" s="2" t="s">
        <v>20</v>
      </c>
      <c r="E16" s="5">
        <v>0</v>
      </c>
      <c r="F16" s="3">
        <v>0</v>
      </c>
      <c r="G16" s="6">
        <v>2</v>
      </c>
      <c r="H16" s="16">
        <v>0</v>
      </c>
      <c r="I16" s="12">
        <v>0</v>
      </c>
      <c r="J16" s="13">
        <v>2</v>
      </c>
      <c r="K16" s="38">
        <v>1</v>
      </c>
      <c r="L16" s="2">
        <v>0</v>
      </c>
      <c r="M16" s="2"/>
      <c r="N16" s="2"/>
      <c r="O16" s="31"/>
      <c r="P16" s="2">
        <v>100</v>
      </c>
      <c r="Q16" s="2">
        <v>100</v>
      </c>
      <c r="R16" s="2">
        <v>140</v>
      </c>
      <c r="S16" s="2"/>
      <c r="T16" s="2"/>
      <c r="U16" s="2"/>
      <c r="V16" s="2"/>
      <c r="W16" s="2"/>
      <c r="X16" s="2"/>
      <c r="Y16" s="31"/>
      <c r="Z16" s="14">
        <f t="shared" si="0"/>
        <v>3</v>
      </c>
      <c r="AA16" s="14">
        <f t="shared" si="1"/>
        <v>0.30000000000000004</v>
      </c>
      <c r="AB16" s="14">
        <v>0</v>
      </c>
      <c r="AC16" s="32">
        <v>0</v>
      </c>
      <c r="AD16" s="40">
        <f t="shared" si="2"/>
        <v>3.3</v>
      </c>
      <c r="AE16" s="40" t="s">
        <v>20</v>
      </c>
    </row>
    <row r="17" spans="1:31" x14ac:dyDescent="0.25">
      <c r="A17" s="2">
        <v>3</v>
      </c>
      <c r="B17" s="2" t="s">
        <v>16</v>
      </c>
      <c r="C17" s="2" t="s">
        <v>13</v>
      </c>
      <c r="D17" s="2" t="s">
        <v>23</v>
      </c>
      <c r="E17" s="3">
        <v>1</v>
      </c>
      <c r="F17" s="5">
        <v>0</v>
      </c>
      <c r="G17" s="6">
        <v>1</v>
      </c>
      <c r="H17" s="12">
        <v>0.33</v>
      </c>
      <c r="I17" s="16">
        <v>0</v>
      </c>
      <c r="J17" s="13">
        <v>1</v>
      </c>
      <c r="K17" s="14">
        <v>0</v>
      </c>
      <c r="L17" s="2">
        <v>0</v>
      </c>
      <c r="M17" s="2"/>
      <c r="N17" s="2"/>
      <c r="O17" s="31"/>
      <c r="P17" s="2">
        <v>140</v>
      </c>
      <c r="Q17" s="2">
        <v>100</v>
      </c>
      <c r="R17" s="2"/>
      <c r="S17" s="2"/>
      <c r="T17" s="2"/>
      <c r="U17" s="2"/>
      <c r="V17" s="2"/>
      <c r="W17" s="2"/>
      <c r="X17" s="2"/>
      <c r="Y17" s="31"/>
      <c r="Z17" s="14">
        <f t="shared" si="0"/>
        <v>2</v>
      </c>
      <c r="AA17" s="14">
        <f t="shared" si="1"/>
        <v>0.2</v>
      </c>
      <c r="AB17" s="14">
        <v>0</v>
      </c>
      <c r="AC17" s="32">
        <v>0</v>
      </c>
      <c r="AD17" s="14">
        <f t="shared" si="2"/>
        <v>1.53</v>
      </c>
      <c r="AE17" s="2" t="s">
        <v>23</v>
      </c>
    </row>
    <row r="18" spans="1:31" x14ac:dyDescent="0.25">
      <c r="A18" s="2">
        <v>3</v>
      </c>
      <c r="B18" s="2" t="s">
        <v>16</v>
      </c>
      <c r="C18" s="2" t="s">
        <v>13</v>
      </c>
      <c r="D18" s="2" t="s">
        <v>21</v>
      </c>
      <c r="E18" s="4">
        <v>1</v>
      </c>
      <c r="F18" s="3">
        <v>0</v>
      </c>
      <c r="G18" s="6">
        <v>2</v>
      </c>
      <c r="H18" s="15">
        <v>0.33</v>
      </c>
      <c r="I18" s="12">
        <v>0</v>
      </c>
      <c r="J18" s="13">
        <v>2</v>
      </c>
      <c r="K18" s="14">
        <v>0</v>
      </c>
      <c r="L18" s="2">
        <v>0</v>
      </c>
      <c r="M18" s="2"/>
      <c r="N18" s="2"/>
      <c r="O18" s="31"/>
      <c r="P18" s="2">
        <v>100</v>
      </c>
      <c r="Q18" s="2">
        <v>100</v>
      </c>
      <c r="R18" s="2">
        <v>100</v>
      </c>
      <c r="S18" s="2">
        <v>140</v>
      </c>
      <c r="T18" s="2"/>
      <c r="U18" s="2"/>
      <c r="V18" s="2"/>
      <c r="W18" s="2"/>
      <c r="X18" s="2"/>
      <c r="Y18" s="31"/>
      <c r="Z18" s="14">
        <f t="shared" si="0"/>
        <v>4</v>
      </c>
      <c r="AA18" s="14">
        <f t="shared" si="1"/>
        <v>0.4</v>
      </c>
      <c r="AB18" s="14">
        <v>0</v>
      </c>
      <c r="AC18" s="32">
        <v>0</v>
      </c>
      <c r="AD18" s="14">
        <f t="shared" si="2"/>
        <v>2.73</v>
      </c>
      <c r="AE18" s="2" t="s">
        <v>21</v>
      </c>
    </row>
    <row r="19" spans="1:31" x14ac:dyDescent="0.25">
      <c r="A19" s="2">
        <v>3</v>
      </c>
      <c r="B19" s="2" t="s">
        <v>16</v>
      </c>
      <c r="C19" s="2" t="s">
        <v>13</v>
      </c>
      <c r="D19" s="2" t="s">
        <v>26</v>
      </c>
      <c r="E19" s="5">
        <v>1</v>
      </c>
      <c r="F19" s="5">
        <v>0</v>
      </c>
      <c r="G19" s="6">
        <v>1</v>
      </c>
      <c r="H19" s="16">
        <v>0.33</v>
      </c>
      <c r="I19" s="16">
        <v>0</v>
      </c>
      <c r="J19" s="13">
        <v>1</v>
      </c>
      <c r="K19" s="14">
        <v>0</v>
      </c>
      <c r="L19" s="2">
        <v>0</v>
      </c>
      <c r="M19" s="2"/>
      <c r="N19" s="2"/>
      <c r="O19" s="31"/>
      <c r="P19" s="2">
        <v>100</v>
      </c>
      <c r="Q19" s="2">
        <v>121</v>
      </c>
      <c r="R19" s="2">
        <v>120</v>
      </c>
      <c r="S19" s="2"/>
      <c r="T19" s="2"/>
      <c r="U19" s="2"/>
      <c r="V19" s="2"/>
      <c r="W19" s="2"/>
      <c r="X19" s="2"/>
      <c r="Y19" s="31"/>
      <c r="Z19" s="14">
        <f t="shared" si="0"/>
        <v>3</v>
      </c>
      <c r="AA19" s="14">
        <f t="shared" si="1"/>
        <v>0.30000000000000004</v>
      </c>
      <c r="AB19" s="14">
        <v>0</v>
      </c>
      <c r="AC19" s="32">
        <v>0</v>
      </c>
      <c r="AD19" s="14">
        <f t="shared" si="2"/>
        <v>1.6300000000000001</v>
      </c>
      <c r="AE19" s="2" t="s">
        <v>26</v>
      </c>
    </row>
    <row r="20" spans="1:31" x14ac:dyDescent="0.25">
      <c r="A20">
        <v>4</v>
      </c>
      <c r="B20" t="s">
        <v>17</v>
      </c>
      <c r="C20" t="s">
        <v>15</v>
      </c>
      <c r="D20" s="42" t="s">
        <v>26</v>
      </c>
      <c r="E20" s="7">
        <v>0</v>
      </c>
      <c r="F20" s="7">
        <v>0</v>
      </c>
      <c r="G20" s="8">
        <v>0</v>
      </c>
      <c r="H20" s="17">
        <v>0</v>
      </c>
      <c r="I20" s="17">
        <v>0</v>
      </c>
      <c r="J20" s="18">
        <v>0</v>
      </c>
      <c r="K20" s="19">
        <v>0</v>
      </c>
      <c r="L20" s="42">
        <v>0</v>
      </c>
      <c r="O20" s="25"/>
      <c r="P20" s="42">
        <v>103</v>
      </c>
      <c r="Q20" s="42"/>
      <c r="R20" s="42"/>
      <c r="S20" s="42"/>
      <c r="T20" s="42"/>
      <c r="U20" s="42"/>
      <c r="V20" s="42"/>
      <c r="W20" s="42"/>
      <c r="X20" s="42"/>
      <c r="Y20" s="43"/>
      <c r="Z20" s="30">
        <f t="shared" si="0"/>
        <v>1</v>
      </c>
      <c r="AA20" s="30">
        <f t="shared" si="1"/>
        <v>0.1</v>
      </c>
      <c r="AB20" s="30">
        <v>0</v>
      </c>
      <c r="AC20" s="33">
        <v>0</v>
      </c>
      <c r="AD20" s="19">
        <f t="shared" si="2"/>
        <v>0.1</v>
      </c>
      <c r="AE20" t="s">
        <v>26</v>
      </c>
    </row>
    <row r="21" spans="1:31" x14ac:dyDescent="0.25">
      <c r="A21">
        <v>4</v>
      </c>
      <c r="B21" t="s">
        <v>17</v>
      </c>
      <c r="C21" t="s">
        <v>15</v>
      </c>
      <c r="D21" s="42" t="s">
        <v>22</v>
      </c>
      <c r="E21" s="9">
        <v>0</v>
      </c>
      <c r="F21" s="10">
        <v>0</v>
      </c>
      <c r="G21" s="8">
        <v>2</v>
      </c>
      <c r="H21" s="20">
        <v>0</v>
      </c>
      <c r="I21" s="21">
        <v>0</v>
      </c>
      <c r="J21" s="18">
        <v>2</v>
      </c>
      <c r="K21" s="19">
        <v>1</v>
      </c>
      <c r="L21" s="42">
        <v>0</v>
      </c>
      <c r="O21" s="25"/>
      <c r="P21" s="42">
        <v>100</v>
      </c>
      <c r="Q21" s="42">
        <v>100</v>
      </c>
      <c r="R21" s="42">
        <v>123</v>
      </c>
      <c r="S21" s="42"/>
      <c r="T21" s="42"/>
      <c r="U21" s="42"/>
      <c r="V21" s="42"/>
      <c r="W21" s="42"/>
      <c r="X21" s="42"/>
      <c r="Y21" s="43"/>
      <c r="Z21" s="30">
        <f t="shared" si="0"/>
        <v>3</v>
      </c>
      <c r="AA21" s="30">
        <f t="shared" si="1"/>
        <v>0.30000000000000004</v>
      </c>
      <c r="AB21" s="30">
        <v>0</v>
      </c>
      <c r="AC21" s="33">
        <v>0</v>
      </c>
      <c r="AD21" s="19">
        <f t="shared" si="2"/>
        <v>3.3</v>
      </c>
      <c r="AE21" t="s">
        <v>22</v>
      </c>
    </row>
    <row r="22" spans="1:31" x14ac:dyDescent="0.25">
      <c r="A22">
        <v>4</v>
      </c>
      <c r="B22" t="s">
        <v>17</v>
      </c>
      <c r="C22" t="s">
        <v>15</v>
      </c>
      <c r="D22" s="42" t="s">
        <v>21</v>
      </c>
      <c r="E22" s="10">
        <v>0</v>
      </c>
      <c r="F22" s="7">
        <v>1</v>
      </c>
      <c r="G22" s="8">
        <v>2</v>
      </c>
      <c r="H22" s="21">
        <v>0</v>
      </c>
      <c r="I22" s="17">
        <v>0.5</v>
      </c>
      <c r="J22" s="18">
        <v>2</v>
      </c>
      <c r="K22" s="19">
        <v>1</v>
      </c>
      <c r="L22" s="42">
        <v>70</v>
      </c>
      <c r="O22" s="25"/>
      <c r="P22" s="42">
        <v>100</v>
      </c>
      <c r="Q22" s="42">
        <v>140</v>
      </c>
      <c r="R22" s="42"/>
      <c r="S22" s="42"/>
      <c r="T22" s="42"/>
      <c r="U22" s="42"/>
      <c r="V22" s="42"/>
      <c r="W22" s="42"/>
      <c r="X22" s="42"/>
      <c r="Y22" s="43"/>
      <c r="Z22" s="30">
        <f t="shared" si="0"/>
        <v>2</v>
      </c>
      <c r="AA22" s="30">
        <f t="shared" si="1"/>
        <v>0.2</v>
      </c>
      <c r="AB22" s="30">
        <v>0</v>
      </c>
      <c r="AC22" s="33">
        <v>0</v>
      </c>
      <c r="AD22" s="19">
        <f t="shared" si="2"/>
        <v>3.7</v>
      </c>
      <c r="AE22" t="s">
        <v>21</v>
      </c>
    </row>
    <row r="23" spans="1:31" x14ac:dyDescent="0.25">
      <c r="A23">
        <v>4</v>
      </c>
      <c r="B23" t="s">
        <v>17</v>
      </c>
      <c r="C23" t="s">
        <v>15</v>
      </c>
      <c r="D23" s="42" t="s">
        <v>18</v>
      </c>
      <c r="E23" s="7">
        <v>1</v>
      </c>
      <c r="F23" s="10">
        <v>1</v>
      </c>
      <c r="G23" s="8">
        <v>0</v>
      </c>
      <c r="H23" s="17">
        <v>0.33</v>
      </c>
      <c r="I23" s="21">
        <v>0.5</v>
      </c>
      <c r="J23" s="18">
        <v>0</v>
      </c>
      <c r="K23" s="19">
        <v>0</v>
      </c>
      <c r="L23" s="42">
        <v>0</v>
      </c>
      <c r="O23" s="25"/>
      <c r="P23" s="42">
        <v>100</v>
      </c>
      <c r="Q23" s="42"/>
      <c r="R23" s="42"/>
      <c r="S23" s="42"/>
      <c r="T23" s="42"/>
      <c r="U23" s="42"/>
      <c r="V23" s="42"/>
      <c r="W23" s="42"/>
      <c r="X23" s="42"/>
      <c r="Y23" s="43"/>
      <c r="Z23" s="30">
        <f t="shared" si="0"/>
        <v>1</v>
      </c>
      <c r="AA23" s="30">
        <f t="shared" si="1"/>
        <v>0.1</v>
      </c>
      <c r="AB23" s="30">
        <v>0</v>
      </c>
      <c r="AC23" s="33">
        <v>0</v>
      </c>
      <c r="AD23" s="19">
        <f t="shared" si="2"/>
        <v>0.93</v>
      </c>
      <c r="AE23" t="s">
        <v>18</v>
      </c>
    </row>
    <row r="24" spans="1:31" x14ac:dyDescent="0.25">
      <c r="A24">
        <v>4</v>
      </c>
      <c r="B24" t="s">
        <v>17</v>
      </c>
      <c r="C24" t="s">
        <v>15</v>
      </c>
      <c r="D24" s="42" t="s">
        <v>23</v>
      </c>
      <c r="E24" s="9">
        <v>1</v>
      </c>
      <c r="F24" s="7">
        <v>0</v>
      </c>
      <c r="G24" s="8">
        <v>2</v>
      </c>
      <c r="H24" s="20">
        <v>0.33</v>
      </c>
      <c r="I24" s="17">
        <v>0</v>
      </c>
      <c r="J24" s="18">
        <v>2</v>
      </c>
      <c r="K24" s="19">
        <v>0</v>
      </c>
      <c r="L24" s="42">
        <v>55</v>
      </c>
      <c r="O24" s="25"/>
      <c r="P24" s="42">
        <v>100</v>
      </c>
      <c r="Q24" s="42"/>
      <c r="R24" s="42"/>
      <c r="S24" s="42"/>
      <c r="T24" s="42"/>
      <c r="U24" s="42"/>
      <c r="V24" s="42"/>
      <c r="W24" s="42"/>
      <c r="X24" s="42"/>
      <c r="Y24" s="43"/>
      <c r="Z24" s="30">
        <f t="shared" si="0"/>
        <v>1</v>
      </c>
      <c r="AA24" s="30">
        <f t="shared" si="1"/>
        <v>0.1</v>
      </c>
      <c r="AB24" s="30">
        <v>0</v>
      </c>
      <c r="AC24" s="33">
        <v>0</v>
      </c>
      <c r="AD24" s="19">
        <f t="shared" si="2"/>
        <v>2.4300000000000002</v>
      </c>
      <c r="AE24" t="s">
        <v>23</v>
      </c>
    </row>
    <row r="25" spans="1:31" x14ac:dyDescent="0.25">
      <c r="A25">
        <v>4</v>
      </c>
      <c r="B25" t="s">
        <v>17</v>
      </c>
      <c r="C25" t="s">
        <v>15</v>
      </c>
      <c r="D25" s="42" t="s">
        <v>20</v>
      </c>
      <c r="E25" s="10">
        <v>1</v>
      </c>
      <c r="F25" s="10">
        <v>0</v>
      </c>
      <c r="G25" s="8">
        <v>2</v>
      </c>
      <c r="H25" s="21">
        <v>0.33</v>
      </c>
      <c r="I25" s="21">
        <v>0</v>
      </c>
      <c r="J25" s="18">
        <v>2</v>
      </c>
      <c r="K25" s="19">
        <v>1</v>
      </c>
      <c r="L25" s="42">
        <v>0</v>
      </c>
      <c r="O25" s="25"/>
      <c r="P25" s="42">
        <v>100</v>
      </c>
      <c r="Q25" s="42">
        <v>140</v>
      </c>
      <c r="R25" s="42">
        <v>100</v>
      </c>
      <c r="S25" s="42">
        <v>100</v>
      </c>
      <c r="T25" s="42"/>
      <c r="U25" s="42"/>
      <c r="V25" s="42"/>
      <c r="W25" s="42"/>
      <c r="X25" s="42"/>
      <c r="Y25" s="43"/>
      <c r="Z25" s="30">
        <f t="shared" si="0"/>
        <v>4</v>
      </c>
      <c r="AA25" s="30">
        <f t="shared" si="1"/>
        <v>0.4</v>
      </c>
      <c r="AB25" s="30">
        <v>0</v>
      </c>
      <c r="AC25" s="33">
        <v>0</v>
      </c>
      <c r="AD25" s="40">
        <f t="shared" si="2"/>
        <v>3.73</v>
      </c>
      <c r="AE25" s="40" t="s">
        <v>20</v>
      </c>
    </row>
    <row r="26" spans="1:31" x14ac:dyDescent="0.25">
      <c r="A26" s="2">
        <v>5</v>
      </c>
      <c r="B26" s="2" t="s">
        <v>29</v>
      </c>
      <c r="C26" s="2"/>
      <c r="D26" s="2"/>
      <c r="E26" s="3"/>
      <c r="F26" s="3"/>
      <c r="G26" s="6"/>
      <c r="H26" s="12"/>
      <c r="I26" s="12"/>
      <c r="J26" s="13"/>
      <c r="K26" s="14"/>
      <c r="O26" s="25"/>
      <c r="Z26" s="14">
        <f t="shared" si="0"/>
        <v>0</v>
      </c>
      <c r="AA26" s="14">
        <f t="shared" si="1"/>
        <v>0</v>
      </c>
      <c r="AB26" s="14"/>
      <c r="AC26" s="32"/>
      <c r="AD26" s="14">
        <f t="shared" si="2"/>
        <v>0</v>
      </c>
    </row>
    <row r="27" spans="1:31" x14ac:dyDescent="0.25">
      <c r="A27" s="2">
        <v>5</v>
      </c>
      <c r="B27" s="2" t="s">
        <v>29</v>
      </c>
      <c r="C27" s="2"/>
      <c r="D27" s="2"/>
      <c r="E27" s="4"/>
      <c r="F27" s="5"/>
      <c r="G27" s="6"/>
      <c r="H27" s="15"/>
      <c r="I27" s="16"/>
      <c r="J27" s="13"/>
      <c r="K27" s="14"/>
      <c r="O27" s="25"/>
      <c r="Z27" s="14">
        <f t="shared" si="0"/>
        <v>0</v>
      </c>
      <c r="AA27" s="14">
        <f t="shared" si="1"/>
        <v>0</v>
      </c>
      <c r="AB27" s="14"/>
      <c r="AC27" s="32"/>
      <c r="AD27" s="14">
        <f t="shared" si="2"/>
        <v>0</v>
      </c>
    </row>
    <row r="28" spans="1:31" x14ac:dyDescent="0.25">
      <c r="A28" s="2">
        <v>5</v>
      </c>
      <c r="B28" s="2" t="s">
        <v>29</v>
      </c>
      <c r="C28" s="2"/>
      <c r="D28" s="2"/>
      <c r="E28" s="5"/>
      <c r="F28" s="3"/>
      <c r="G28" s="6"/>
      <c r="H28" s="16"/>
      <c r="I28" s="12"/>
      <c r="J28" s="13"/>
      <c r="K28" s="14"/>
      <c r="O28" s="25"/>
      <c r="Z28" s="14">
        <f t="shared" si="0"/>
        <v>0</v>
      </c>
      <c r="AA28" s="14">
        <f t="shared" si="1"/>
        <v>0</v>
      </c>
      <c r="AB28" s="14"/>
      <c r="AC28" s="32"/>
      <c r="AD28" s="14">
        <f t="shared" si="2"/>
        <v>0</v>
      </c>
    </row>
    <row r="29" spans="1:31" x14ac:dyDescent="0.25">
      <c r="A29" s="2">
        <v>5</v>
      </c>
      <c r="B29" s="2" t="s">
        <v>29</v>
      </c>
      <c r="C29" s="2"/>
      <c r="D29" s="2"/>
      <c r="E29" s="3"/>
      <c r="F29" s="5"/>
      <c r="G29" s="6"/>
      <c r="H29" s="12"/>
      <c r="I29" s="16"/>
      <c r="J29" s="13"/>
      <c r="K29" s="14"/>
      <c r="O29" s="25"/>
      <c r="Z29" s="14">
        <f t="shared" si="0"/>
        <v>0</v>
      </c>
      <c r="AA29" s="14">
        <f t="shared" si="1"/>
        <v>0</v>
      </c>
      <c r="AB29" s="14"/>
      <c r="AC29" s="32"/>
      <c r="AD29" s="14">
        <f t="shared" si="2"/>
        <v>0</v>
      </c>
    </row>
    <row r="30" spans="1:31" x14ac:dyDescent="0.25">
      <c r="A30" s="2">
        <v>5</v>
      </c>
      <c r="B30" s="2" t="s">
        <v>29</v>
      </c>
      <c r="C30" s="2"/>
      <c r="D30" s="2"/>
      <c r="E30" s="4"/>
      <c r="F30" s="3"/>
      <c r="G30" s="6"/>
      <c r="H30" s="15"/>
      <c r="I30" s="12"/>
      <c r="J30" s="13"/>
      <c r="K30" s="14"/>
      <c r="O30" s="25"/>
      <c r="Z30" s="14">
        <f t="shared" si="0"/>
        <v>0</v>
      </c>
      <c r="AA30" s="14">
        <f t="shared" si="1"/>
        <v>0</v>
      </c>
      <c r="AB30" s="14"/>
      <c r="AC30" s="32"/>
      <c r="AD30" s="14">
        <f t="shared" si="2"/>
        <v>0</v>
      </c>
    </row>
    <row r="31" spans="1:31" x14ac:dyDescent="0.25">
      <c r="A31" s="2">
        <v>5</v>
      </c>
      <c r="B31" s="2" t="s">
        <v>29</v>
      </c>
      <c r="C31" s="2"/>
      <c r="D31" s="2"/>
      <c r="E31" s="5"/>
      <c r="F31" s="5"/>
      <c r="G31" s="6"/>
      <c r="H31" s="16"/>
      <c r="I31" s="16"/>
      <c r="J31" s="13"/>
      <c r="K31" s="14"/>
      <c r="O31" s="25"/>
      <c r="Z31" s="14">
        <f t="shared" si="0"/>
        <v>0</v>
      </c>
      <c r="AA31" s="14">
        <f t="shared" si="1"/>
        <v>0</v>
      </c>
      <c r="AB31" s="14"/>
      <c r="AC31" s="32"/>
      <c r="AD31" s="14">
        <f t="shared" si="2"/>
        <v>0</v>
      </c>
    </row>
    <row r="32" spans="1:31" x14ac:dyDescent="0.25">
      <c r="A32">
        <v>6</v>
      </c>
      <c r="B32" t="s">
        <v>30</v>
      </c>
      <c r="C32" t="s">
        <v>13</v>
      </c>
      <c r="E32" s="7"/>
      <c r="F32" s="7"/>
      <c r="G32" s="8"/>
      <c r="H32" s="17"/>
      <c r="I32" s="17"/>
      <c r="J32" s="18"/>
      <c r="K32" s="19"/>
      <c r="O32" s="25"/>
      <c r="Z32" s="19">
        <f t="shared" si="0"/>
        <v>0</v>
      </c>
      <c r="AA32" s="19">
        <f t="shared" si="1"/>
        <v>0</v>
      </c>
      <c r="AB32" s="19"/>
      <c r="AC32" s="41"/>
      <c r="AD32" s="19">
        <f t="shared" si="2"/>
        <v>0</v>
      </c>
    </row>
    <row r="33" spans="1:30" x14ac:dyDescent="0.25">
      <c r="A33">
        <v>6</v>
      </c>
      <c r="B33" t="s">
        <v>30</v>
      </c>
      <c r="C33" t="s">
        <v>13</v>
      </c>
      <c r="E33" s="9"/>
      <c r="F33" s="10"/>
      <c r="G33" s="8"/>
      <c r="H33" s="20"/>
      <c r="I33" s="21"/>
      <c r="J33" s="18"/>
      <c r="K33" s="19"/>
      <c r="O33" s="25"/>
      <c r="Z33" s="19">
        <f t="shared" si="0"/>
        <v>0</v>
      </c>
      <c r="AA33" s="19">
        <f t="shared" si="1"/>
        <v>0</v>
      </c>
      <c r="AB33" s="19"/>
      <c r="AC33" s="41"/>
      <c r="AD33" s="19">
        <f t="shared" si="2"/>
        <v>0</v>
      </c>
    </row>
    <row r="34" spans="1:30" x14ac:dyDescent="0.25">
      <c r="A34">
        <v>6</v>
      </c>
      <c r="B34" t="s">
        <v>30</v>
      </c>
      <c r="C34" t="s">
        <v>13</v>
      </c>
      <c r="E34" s="10"/>
      <c r="F34" s="7"/>
      <c r="G34" s="8"/>
      <c r="H34" s="21"/>
      <c r="I34" s="17"/>
      <c r="J34" s="18"/>
      <c r="K34" s="19"/>
      <c r="O34" s="25"/>
      <c r="Z34" s="19">
        <f t="shared" si="0"/>
        <v>0</v>
      </c>
      <c r="AA34" s="19">
        <f t="shared" si="1"/>
        <v>0</v>
      </c>
      <c r="AB34" s="19"/>
      <c r="AC34" s="41"/>
      <c r="AD34" s="19">
        <f t="shared" si="2"/>
        <v>0</v>
      </c>
    </row>
    <row r="35" spans="1:30" x14ac:dyDescent="0.25">
      <c r="A35">
        <v>6</v>
      </c>
      <c r="B35" t="s">
        <v>30</v>
      </c>
      <c r="C35" t="s">
        <v>13</v>
      </c>
      <c r="E35" s="7"/>
      <c r="F35" s="10"/>
      <c r="G35" s="8"/>
      <c r="H35" s="17"/>
      <c r="I35" s="21"/>
      <c r="J35" s="18"/>
      <c r="K35" s="19"/>
      <c r="O35" s="25"/>
      <c r="Z35" s="19">
        <f t="shared" si="0"/>
        <v>0</v>
      </c>
      <c r="AA35" s="19">
        <f t="shared" si="1"/>
        <v>0</v>
      </c>
      <c r="AB35" s="19"/>
      <c r="AC35" s="41"/>
      <c r="AD35" s="19">
        <f t="shared" si="2"/>
        <v>0</v>
      </c>
    </row>
    <row r="36" spans="1:30" x14ac:dyDescent="0.25">
      <c r="A36">
        <v>6</v>
      </c>
      <c r="B36" t="s">
        <v>30</v>
      </c>
      <c r="C36" t="s">
        <v>13</v>
      </c>
      <c r="E36" s="9"/>
      <c r="F36" s="7"/>
      <c r="G36" s="8"/>
      <c r="H36" s="20"/>
      <c r="I36" s="17"/>
      <c r="J36" s="18"/>
      <c r="K36" s="19"/>
      <c r="O36" s="25"/>
      <c r="Z36" s="19">
        <f t="shared" si="0"/>
        <v>0</v>
      </c>
      <c r="AA36" s="19">
        <f t="shared" si="1"/>
        <v>0</v>
      </c>
      <c r="AB36" s="19"/>
      <c r="AC36" s="41"/>
      <c r="AD36" s="19">
        <f t="shared" si="2"/>
        <v>0</v>
      </c>
    </row>
    <row r="37" spans="1:30" x14ac:dyDescent="0.25">
      <c r="A37">
        <v>6</v>
      </c>
      <c r="B37" t="s">
        <v>30</v>
      </c>
      <c r="C37" t="s">
        <v>13</v>
      </c>
      <c r="E37" s="10"/>
      <c r="F37" s="10"/>
      <c r="G37" s="8"/>
      <c r="H37" s="21"/>
      <c r="I37" s="21"/>
      <c r="J37" s="18"/>
      <c r="K37" s="19"/>
      <c r="O37" s="25"/>
      <c r="Z37" s="19">
        <f t="shared" si="0"/>
        <v>0</v>
      </c>
      <c r="AA37" s="19">
        <f t="shared" si="1"/>
        <v>0</v>
      </c>
      <c r="AB37" s="19"/>
      <c r="AC37" s="41"/>
      <c r="AD37" s="19">
        <f t="shared" si="2"/>
        <v>0</v>
      </c>
    </row>
    <row r="38" spans="1:30" x14ac:dyDescent="0.25">
      <c r="A38" s="2">
        <v>7</v>
      </c>
      <c r="B38" s="2" t="s">
        <v>31</v>
      </c>
      <c r="C38" s="2" t="s">
        <v>15</v>
      </c>
      <c r="D38" s="2"/>
      <c r="E38" s="3"/>
      <c r="F38" s="3"/>
      <c r="G38" s="6"/>
      <c r="H38" s="12"/>
      <c r="I38" s="12"/>
      <c r="J38" s="13"/>
      <c r="K38" s="14"/>
      <c r="O38" s="25"/>
      <c r="Z38" s="14">
        <f t="shared" si="0"/>
        <v>0</v>
      </c>
      <c r="AA38" s="14">
        <f t="shared" si="1"/>
        <v>0</v>
      </c>
      <c r="AD38" s="14">
        <f t="shared" si="2"/>
        <v>0</v>
      </c>
    </row>
    <row r="39" spans="1:30" x14ac:dyDescent="0.25">
      <c r="A39" s="2">
        <v>7</v>
      </c>
      <c r="B39" s="2" t="s">
        <v>31</v>
      </c>
      <c r="C39" s="2" t="s">
        <v>15</v>
      </c>
      <c r="D39" s="2"/>
      <c r="E39" s="4"/>
      <c r="F39" s="5"/>
      <c r="G39" s="6"/>
      <c r="H39" s="15"/>
      <c r="I39" s="16"/>
      <c r="J39" s="13"/>
      <c r="K39" s="14"/>
      <c r="O39" s="25"/>
      <c r="Z39" s="14">
        <f t="shared" si="0"/>
        <v>0</v>
      </c>
      <c r="AA39" s="14">
        <f t="shared" si="1"/>
        <v>0</v>
      </c>
      <c r="AD39" s="14">
        <f t="shared" si="2"/>
        <v>0</v>
      </c>
    </row>
    <row r="40" spans="1:30" x14ac:dyDescent="0.25">
      <c r="A40" s="2">
        <v>7</v>
      </c>
      <c r="B40" s="2" t="s">
        <v>31</v>
      </c>
      <c r="C40" s="2" t="s">
        <v>15</v>
      </c>
      <c r="D40" s="2"/>
      <c r="E40" s="5"/>
      <c r="F40" s="3"/>
      <c r="G40" s="6"/>
      <c r="H40" s="16"/>
      <c r="I40" s="12"/>
      <c r="J40" s="13"/>
      <c r="K40" s="14"/>
      <c r="O40" s="25"/>
      <c r="Z40" s="14">
        <f t="shared" si="0"/>
        <v>0</v>
      </c>
      <c r="AA40" s="14">
        <f t="shared" si="1"/>
        <v>0</v>
      </c>
      <c r="AD40" s="14">
        <f t="shared" si="2"/>
        <v>0</v>
      </c>
    </row>
    <row r="41" spans="1:30" x14ac:dyDescent="0.25">
      <c r="A41" s="2">
        <v>7</v>
      </c>
      <c r="B41" s="2" t="s">
        <v>31</v>
      </c>
      <c r="C41" s="2" t="s">
        <v>15</v>
      </c>
      <c r="D41" s="2"/>
      <c r="E41" s="3"/>
      <c r="F41" s="5"/>
      <c r="G41" s="6"/>
      <c r="H41" s="12"/>
      <c r="I41" s="16"/>
      <c r="J41" s="13"/>
      <c r="K41" s="14"/>
      <c r="O41" s="25"/>
      <c r="Z41" s="14">
        <f t="shared" si="0"/>
        <v>0</v>
      </c>
      <c r="AA41" s="14">
        <f t="shared" si="1"/>
        <v>0</v>
      </c>
      <c r="AD41" s="14">
        <f t="shared" si="2"/>
        <v>0</v>
      </c>
    </row>
    <row r="42" spans="1:30" x14ac:dyDescent="0.25">
      <c r="A42" s="2">
        <v>7</v>
      </c>
      <c r="B42" s="2" t="s">
        <v>31</v>
      </c>
      <c r="C42" s="2" t="s">
        <v>15</v>
      </c>
      <c r="D42" s="2"/>
      <c r="E42" s="4"/>
      <c r="F42" s="3"/>
      <c r="G42" s="6"/>
      <c r="H42" s="15"/>
      <c r="I42" s="12"/>
      <c r="J42" s="13"/>
      <c r="K42" s="14"/>
      <c r="O42" s="25"/>
      <c r="Z42" s="14">
        <f t="shared" si="0"/>
        <v>0</v>
      </c>
      <c r="AA42" s="14">
        <f t="shared" si="1"/>
        <v>0</v>
      </c>
      <c r="AD42" s="14">
        <f t="shared" si="2"/>
        <v>0</v>
      </c>
    </row>
    <row r="43" spans="1:30" x14ac:dyDescent="0.25">
      <c r="A43" s="2">
        <v>7</v>
      </c>
      <c r="B43" s="2" t="s">
        <v>31</v>
      </c>
      <c r="C43" s="2" t="s">
        <v>15</v>
      </c>
      <c r="D43" s="2"/>
      <c r="E43" s="5"/>
      <c r="F43" s="5"/>
      <c r="G43" s="6"/>
      <c r="H43" s="16"/>
      <c r="I43" s="16"/>
      <c r="J43" s="13"/>
      <c r="K43" s="14"/>
      <c r="O43" s="25"/>
      <c r="Z43" s="14">
        <f t="shared" si="0"/>
        <v>0</v>
      </c>
      <c r="AA43" s="14">
        <f t="shared" si="1"/>
        <v>0</v>
      </c>
      <c r="AD43" s="14">
        <f t="shared" si="2"/>
        <v>0</v>
      </c>
    </row>
    <row r="44" spans="1:30" x14ac:dyDescent="0.25">
      <c r="A44">
        <v>8</v>
      </c>
      <c r="B44" t="s">
        <v>32</v>
      </c>
      <c r="C44" t="s">
        <v>15</v>
      </c>
      <c r="E44" s="7"/>
      <c r="F44" s="7"/>
      <c r="G44" s="8"/>
      <c r="H44" s="17"/>
      <c r="I44" s="17"/>
      <c r="J44" s="18"/>
      <c r="K44" s="19"/>
      <c r="O44" s="25"/>
      <c r="Z44" s="14">
        <f t="shared" si="0"/>
        <v>0</v>
      </c>
      <c r="AA44" s="14">
        <f t="shared" si="1"/>
        <v>0</v>
      </c>
      <c r="AD44" s="14">
        <f t="shared" si="2"/>
        <v>0</v>
      </c>
    </row>
    <row r="45" spans="1:30" x14ac:dyDescent="0.25">
      <c r="A45">
        <v>8</v>
      </c>
      <c r="B45" t="s">
        <v>32</v>
      </c>
      <c r="C45" t="s">
        <v>15</v>
      </c>
      <c r="E45" s="9"/>
      <c r="F45" s="10"/>
      <c r="G45" s="8"/>
      <c r="H45" s="20"/>
      <c r="I45" s="21"/>
      <c r="J45" s="18"/>
      <c r="K45" s="19"/>
      <c r="O45" s="25"/>
      <c r="Z45" s="14">
        <f t="shared" si="0"/>
        <v>0</v>
      </c>
      <c r="AA45" s="14">
        <f t="shared" si="1"/>
        <v>0</v>
      </c>
      <c r="AD45" s="14">
        <f t="shared" si="2"/>
        <v>0</v>
      </c>
    </row>
    <row r="46" spans="1:30" x14ac:dyDescent="0.25">
      <c r="A46">
        <v>8</v>
      </c>
      <c r="B46" t="s">
        <v>32</v>
      </c>
      <c r="C46" t="s">
        <v>15</v>
      </c>
      <c r="E46" s="10"/>
      <c r="F46" s="7"/>
      <c r="G46" s="8"/>
      <c r="H46" s="21"/>
      <c r="I46" s="17"/>
      <c r="J46" s="18"/>
      <c r="K46" s="19"/>
      <c r="O46" s="25"/>
      <c r="Z46" s="14">
        <f t="shared" si="0"/>
        <v>0</v>
      </c>
      <c r="AA46" s="14">
        <f t="shared" si="1"/>
        <v>0</v>
      </c>
      <c r="AD46" s="14">
        <f t="shared" si="2"/>
        <v>0</v>
      </c>
    </row>
    <row r="47" spans="1:30" x14ac:dyDescent="0.25">
      <c r="A47">
        <v>8</v>
      </c>
      <c r="B47" t="s">
        <v>32</v>
      </c>
      <c r="C47" t="s">
        <v>15</v>
      </c>
      <c r="E47" s="7"/>
      <c r="F47" s="10"/>
      <c r="G47" s="8"/>
      <c r="H47" s="17"/>
      <c r="I47" s="21"/>
      <c r="J47" s="18"/>
      <c r="K47" s="19"/>
      <c r="O47" s="25"/>
      <c r="Z47" s="14">
        <f t="shared" si="0"/>
        <v>0</v>
      </c>
      <c r="AA47" s="14">
        <f t="shared" si="1"/>
        <v>0</v>
      </c>
      <c r="AD47" s="14">
        <f t="shared" si="2"/>
        <v>0</v>
      </c>
    </row>
    <row r="48" spans="1:30" x14ac:dyDescent="0.25">
      <c r="A48">
        <v>8</v>
      </c>
      <c r="B48" t="s">
        <v>32</v>
      </c>
      <c r="C48" t="s">
        <v>15</v>
      </c>
      <c r="E48" s="9"/>
      <c r="F48" s="7"/>
      <c r="G48" s="8"/>
      <c r="H48" s="20"/>
      <c r="I48" s="17"/>
      <c r="J48" s="18"/>
      <c r="K48" s="19"/>
      <c r="O48" s="25"/>
      <c r="Z48" s="14">
        <f t="shared" si="0"/>
        <v>0</v>
      </c>
      <c r="AA48" s="14">
        <f t="shared" si="1"/>
        <v>0</v>
      </c>
      <c r="AD48" s="14">
        <f t="shared" si="2"/>
        <v>0</v>
      </c>
    </row>
    <row r="49" spans="1:30" x14ac:dyDescent="0.25">
      <c r="A49">
        <v>8</v>
      </c>
      <c r="B49" t="s">
        <v>32</v>
      </c>
      <c r="C49" t="s">
        <v>15</v>
      </c>
      <c r="E49" s="10"/>
      <c r="F49" s="10"/>
      <c r="G49" s="8"/>
      <c r="H49" s="21"/>
      <c r="I49" s="21"/>
      <c r="J49" s="18"/>
      <c r="K49" s="19"/>
      <c r="O49" s="25"/>
      <c r="Z49" s="14">
        <f t="shared" si="0"/>
        <v>0</v>
      </c>
      <c r="AA49" s="14">
        <f t="shared" si="1"/>
        <v>0</v>
      </c>
      <c r="AD49" s="14">
        <f t="shared" si="2"/>
        <v>0</v>
      </c>
    </row>
    <row r="50" spans="1:30" x14ac:dyDescent="0.25">
      <c r="A50" s="2">
        <v>9</v>
      </c>
      <c r="B50" s="2" t="s">
        <v>33</v>
      </c>
      <c r="C50" s="2" t="s">
        <v>13</v>
      </c>
      <c r="D50" s="2"/>
      <c r="E50" s="3"/>
      <c r="F50" s="3"/>
      <c r="G50" s="6"/>
      <c r="H50" s="12"/>
      <c r="I50" s="12"/>
      <c r="J50" s="13"/>
      <c r="K50" s="14"/>
      <c r="O50" s="25"/>
      <c r="Z50" s="14">
        <f t="shared" si="0"/>
        <v>0</v>
      </c>
      <c r="AA50" s="14">
        <f t="shared" si="1"/>
        <v>0</v>
      </c>
      <c r="AD50" s="14">
        <f t="shared" si="2"/>
        <v>0</v>
      </c>
    </row>
    <row r="51" spans="1:30" x14ac:dyDescent="0.25">
      <c r="A51" s="2">
        <v>9</v>
      </c>
      <c r="B51" s="2" t="s">
        <v>33</v>
      </c>
      <c r="C51" s="2" t="s">
        <v>13</v>
      </c>
      <c r="D51" s="2"/>
      <c r="E51" s="4"/>
      <c r="F51" s="5"/>
      <c r="G51" s="6"/>
      <c r="H51" s="15"/>
      <c r="I51" s="16"/>
      <c r="J51" s="13"/>
      <c r="K51" s="14"/>
      <c r="O51" s="25"/>
      <c r="Z51" s="14">
        <f t="shared" si="0"/>
        <v>0</v>
      </c>
      <c r="AA51" s="14">
        <f t="shared" si="1"/>
        <v>0</v>
      </c>
      <c r="AD51" s="14">
        <f t="shared" si="2"/>
        <v>0</v>
      </c>
    </row>
    <row r="52" spans="1:30" x14ac:dyDescent="0.25">
      <c r="A52" s="2">
        <v>9</v>
      </c>
      <c r="B52" s="2" t="s">
        <v>33</v>
      </c>
      <c r="C52" s="2" t="s">
        <v>13</v>
      </c>
      <c r="D52" s="2"/>
      <c r="E52" s="5"/>
      <c r="F52" s="3"/>
      <c r="G52" s="6"/>
      <c r="H52" s="16"/>
      <c r="I52" s="12"/>
      <c r="J52" s="13"/>
      <c r="K52" s="14"/>
      <c r="O52" s="25"/>
      <c r="Z52" s="14">
        <f t="shared" si="0"/>
        <v>0</v>
      </c>
      <c r="AA52" s="14">
        <f t="shared" si="1"/>
        <v>0</v>
      </c>
      <c r="AD52" s="14">
        <f t="shared" si="2"/>
        <v>0</v>
      </c>
    </row>
    <row r="53" spans="1:30" x14ac:dyDescent="0.25">
      <c r="A53" s="2">
        <v>9</v>
      </c>
      <c r="B53" s="2" t="s">
        <v>33</v>
      </c>
      <c r="C53" s="2" t="s">
        <v>13</v>
      </c>
      <c r="D53" s="2"/>
      <c r="E53" s="3"/>
      <c r="F53" s="5"/>
      <c r="G53" s="6"/>
      <c r="H53" s="12"/>
      <c r="I53" s="16"/>
      <c r="J53" s="13"/>
      <c r="K53" s="14"/>
      <c r="O53" s="25"/>
      <c r="Z53" s="14">
        <f t="shared" si="0"/>
        <v>0</v>
      </c>
      <c r="AA53" s="14">
        <f t="shared" si="1"/>
        <v>0</v>
      </c>
      <c r="AD53" s="14">
        <f t="shared" si="2"/>
        <v>0</v>
      </c>
    </row>
    <row r="54" spans="1:30" x14ac:dyDescent="0.25">
      <c r="A54" s="2">
        <v>9</v>
      </c>
      <c r="B54" s="2" t="s">
        <v>33</v>
      </c>
      <c r="C54" s="2" t="s">
        <v>13</v>
      </c>
      <c r="D54" s="2"/>
      <c r="E54" s="4"/>
      <c r="F54" s="3"/>
      <c r="G54" s="6"/>
      <c r="H54" s="15"/>
      <c r="I54" s="12"/>
      <c r="J54" s="13"/>
      <c r="K54" s="14"/>
      <c r="O54" s="25"/>
      <c r="Z54" s="14">
        <f t="shared" si="0"/>
        <v>0</v>
      </c>
      <c r="AA54" s="14">
        <f t="shared" si="1"/>
        <v>0</v>
      </c>
      <c r="AD54" s="14">
        <f t="shared" si="2"/>
        <v>0</v>
      </c>
    </row>
    <row r="55" spans="1:30" x14ac:dyDescent="0.25">
      <c r="A55" s="2">
        <v>9</v>
      </c>
      <c r="B55" s="2" t="s">
        <v>33</v>
      </c>
      <c r="C55" s="2" t="s">
        <v>13</v>
      </c>
      <c r="D55" s="2"/>
      <c r="E55" s="5"/>
      <c r="F55" s="5"/>
      <c r="G55" s="6"/>
      <c r="H55" s="16"/>
      <c r="I55" s="16"/>
      <c r="J55" s="13"/>
      <c r="K55" s="14"/>
      <c r="O55" s="25"/>
      <c r="Z55" s="14">
        <f t="shared" si="0"/>
        <v>0</v>
      </c>
      <c r="AA55" s="14">
        <f t="shared" si="1"/>
        <v>0</v>
      </c>
      <c r="AD55" s="14">
        <f t="shared" si="2"/>
        <v>0</v>
      </c>
    </row>
    <row r="56" spans="1:30" x14ac:dyDescent="0.25">
      <c r="A56">
        <v>10</v>
      </c>
      <c r="B56" t="s">
        <v>34</v>
      </c>
      <c r="C56" t="s">
        <v>15</v>
      </c>
      <c r="E56" s="7"/>
      <c r="F56" s="7"/>
      <c r="G56" s="8"/>
      <c r="H56" s="17"/>
      <c r="I56" s="17"/>
      <c r="J56" s="18"/>
      <c r="K56" s="19"/>
      <c r="O56" s="25"/>
      <c r="Z56" s="14">
        <f t="shared" si="0"/>
        <v>0</v>
      </c>
      <c r="AA56" s="14">
        <f t="shared" si="1"/>
        <v>0</v>
      </c>
      <c r="AD56" s="14">
        <f t="shared" si="2"/>
        <v>0</v>
      </c>
    </row>
    <row r="57" spans="1:30" x14ac:dyDescent="0.25">
      <c r="A57">
        <v>10</v>
      </c>
      <c r="B57" t="s">
        <v>34</v>
      </c>
      <c r="C57" t="s">
        <v>15</v>
      </c>
      <c r="E57" s="9"/>
      <c r="F57" s="10"/>
      <c r="G57" s="8"/>
      <c r="H57" s="20"/>
      <c r="I57" s="21"/>
      <c r="J57" s="18"/>
      <c r="K57" s="19"/>
      <c r="O57" s="25"/>
      <c r="Z57" s="14">
        <f t="shared" si="0"/>
        <v>0</v>
      </c>
      <c r="AA57" s="14">
        <f t="shared" si="1"/>
        <v>0</v>
      </c>
      <c r="AD57" s="14">
        <f t="shared" si="2"/>
        <v>0</v>
      </c>
    </row>
    <row r="58" spans="1:30" x14ac:dyDescent="0.25">
      <c r="A58">
        <v>10</v>
      </c>
      <c r="B58" t="s">
        <v>34</v>
      </c>
      <c r="C58" t="s">
        <v>15</v>
      </c>
      <c r="E58" s="10"/>
      <c r="F58" s="7"/>
      <c r="G58" s="8"/>
      <c r="H58" s="21"/>
      <c r="I58" s="17"/>
      <c r="J58" s="18"/>
      <c r="K58" s="19"/>
      <c r="O58" s="25"/>
      <c r="Z58" s="14">
        <f t="shared" si="0"/>
        <v>0</v>
      </c>
      <c r="AA58" s="14">
        <f t="shared" si="1"/>
        <v>0</v>
      </c>
      <c r="AD58" s="14">
        <f t="shared" si="2"/>
        <v>0</v>
      </c>
    </row>
    <row r="59" spans="1:30" x14ac:dyDescent="0.25">
      <c r="A59">
        <v>10</v>
      </c>
      <c r="B59" t="s">
        <v>34</v>
      </c>
      <c r="C59" t="s">
        <v>15</v>
      </c>
      <c r="E59" s="7"/>
      <c r="F59" s="10"/>
      <c r="G59" s="8"/>
      <c r="H59" s="17"/>
      <c r="I59" s="21"/>
      <c r="J59" s="18"/>
      <c r="K59" s="19"/>
      <c r="O59" s="25"/>
      <c r="Z59" s="14">
        <f t="shared" si="0"/>
        <v>0</v>
      </c>
      <c r="AA59" s="14">
        <f t="shared" si="1"/>
        <v>0</v>
      </c>
      <c r="AD59" s="14">
        <f t="shared" si="2"/>
        <v>0</v>
      </c>
    </row>
    <row r="60" spans="1:30" x14ac:dyDescent="0.25">
      <c r="A60">
        <v>10</v>
      </c>
      <c r="B60" t="s">
        <v>34</v>
      </c>
      <c r="C60" t="s">
        <v>15</v>
      </c>
      <c r="E60" s="9"/>
      <c r="F60" s="7"/>
      <c r="G60" s="8"/>
      <c r="H60" s="20"/>
      <c r="I60" s="17"/>
      <c r="J60" s="18"/>
      <c r="K60" s="19"/>
      <c r="O60" s="25"/>
      <c r="Z60" s="14">
        <f t="shared" si="0"/>
        <v>0</v>
      </c>
      <c r="AA60" s="14">
        <f t="shared" si="1"/>
        <v>0</v>
      </c>
      <c r="AD60" s="14">
        <f t="shared" si="2"/>
        <v>0</v>
      </c>
    </row>
    <row r="61" spans="1:30" x14ac:dyDescent="0.25">
      <c r="A61">
        <v>10</v>
      </c>
      <c r="B61" t="s">
        <v>34</v>
      </c>
      <c r="C61" t="s">
        <v>15</v>
      </c>
      <c r="E61" s="10"/>
      <c r="F61" s="10"/>
      <c r="G61" s="8"/>
      <c r="H61" s="21"/>
      <c r="I61" s="21"/>
      <c r="J61" s="18"/>
      <c r="K61" s="19"/>
      <c r="O61" s="25"/>
      <c r="Z61" s="14">
        <f t="shared" si="0"/>
        <v>0</v>
      </c>
      <c r="AA61" s="14">
        <f t="shared" si="1"/>
        <v>0</v>
      </c>
      <c r="AD61" s="14">
        <f t="shared" si="2"/>
        <v>0</v>
      </c>
    </row>
    <row r="62" spans="1:30" x14ac:dyDescent="0.25">
      <c r="A62" s="2">
        <v>11</v>
      </c>
      <c r="B62" s="2" t="s">
        <v>35</v>
      </c>
      <c r="C62" s="2" t="s">
        <v>13</v>
      </c>
      <c r="D62" s="2"/>
      <c r="E62" s="3"/>
      <c r="F62" s="3"/>
      <c r="G62" s="6"/>
      <c r="H62" s="12"/>
      <c r="I62" s="12"/>
      <c r="J62" s="13"/>
      <c r="K62" s="14"/>
      <c r="O62" s="25"/>
      <c r="Z62" s="14">
        <f t="shared" si="0"/>
        <v>0</v>
      </c>
      <c r="AA62" s="14">
        <f t="shared" si="1"/>
        <v>0</v>
      </c>
      <c r="AD62" s="14">
        <f t="shared" si="2"/>
        <v>0</v>
      </c>
    </row>
    <row r="63" spans="1:30" x14ac:dyDescent="0.25">
      <c r="A63" s="2">
        <v>11</v>
      </c>
      <c r="B63" s="2" t="s">
        <v>35</v>
      </c>
      <c r="C63" s="2" t="s">
        <v>13</v>
      </c>
      <c r="D63" s="2"/>
      <c r="E63" s="4"/>
      <c r="F63" s="5"/>
      <c r="G63" s="6"/>
      <c r="H63" s="15"/>
      <c r="I63" s="16"/>
      <c r="J63" s="13"/>
      <c r="K63" s="14"/>
      <c r="O63" s="25"/>
      <c r="Z63" s="14">
        <f t="shared" si="0"/>
        <v>0</v>
      </c>
      <c r="AA63" s="14">
        <f t="shared" si="1"/>
        <v>0</v>
      </c>
      <c r="AD63" s="14">
        <f t="shared" si="2"/>
        <v>0</v>
      </c>
    </row>
    <row r="64" spans="1:30" x14ac:dyDescent="0.25">
      <c r="A64" s="2">
        <v>11</v>
      </c>
      <c r="B64" s="2" t="s">
        <v>35</v>
      </c>
      <c r="C64" s="2" t="s">
        <v>13</v>
      </c>
      <c r="D64" s="2"/>
      <c r="E64" s="5"/>
      <c r="F64" s="3"/>
      <c r="G64" s="6"/>
      <c r="H64" s="16"/>
      <c r="I64" s="12"/>
      <c r="J64" s="13"/>
      <c r="K64" s="14"/>
      <c r="O64" s="25"/>
      <c r="Z64" s="14">
        <f t="shared" si="0"/>
        <v>0</v>
      </c>
      <c r="AA64" s="14">
        <f t="shared" si="1"/>
        <v>0</v>
      </c>
      <c r="AD64" s="14">
        <f t="shared" si="2"/>
        <v>0</v>
      </c>
    </row>
    <row r="65" spans="1:30" x14ac:dyDescent="0.25">
      <c r="A65" s="2">
        <v>11</v>
      </c>
      <c r="B65" s="2" t="s">
        <v>35</v>
      </c>
      <c r="C65" s="2" t="s">
        <v>13</v>
      </c>
      <c r="D65" s="2"/>
      <c r="E65" s="3"/>
      <c r="F65" s="5"/>
      <c r="G65" s="6"/>
      <c r="H65" s="12"/>
      <c r="I65" s="16"/>
      <c r="J65" s="13"/>
      <c r="K65" s="14"/>
      <c r="O65" s="25"/>
      <c r="Z65" s="14">
        <f t="shared" si="0"/>
        <v>0</v>
      </c>
      <c r="AA65" s="14">
        <f t="shared" si="1"/>
        <v>0</v>
      </c>
      <c r="AD65" s="14">
        <f t="shared" si="2"/>
        <v>0</v>
      </c>
    </row>
    <row r="66" spans="1:30" x14ac:dyDescent="0.25">
      <c r="A66" s="2">
        <v>11</v>
      </c>
      <c r="B66" s="2" t="s">
        <v>35</v>
      </c>
      <c r="C66" s="2" t="s">
        <v>13</v>
      </c>
      <c r="D66" s="2"/>
      <c r="E66" s="4"/>
      <c r="F66" s="3"/>
      <c r="G66" s="6"/>
      <c r="H66" s="15"/>
      <c r="I66" s="12"/>
      <c r="J66" s="13"/>
      <c r="K66" s="14"/>
      <c r="O66" s="25"/>
      <c r="Z66" s="14">
        <f t="shared" si="0"/>
        <v>0</v>
      </c>
      <c r="AA66" s="14">
        <f t="shared" si="1"/>
        <v>0</v>
      </c>
      <c r="AD66" s="14">
        <f t="shared" si="2"/>
        <v>0</v>
      </c>
    </row>
    <row r="67" spans="1:30" x14ac:dyDescent="0.25">
      <c r="A67" s="2">
        <v>11</v>
      </c>
      <c r="B67" s="2" t="s">
        <v>35</v>
      </c>
      <c r="C67" s="2" t="s">
        <v>13</v>
      </c>
      <c r="D67" s="2"/>
      <c r="E67" s="5"/>
      <c r="F67" s="5"/>
      <c r="G67" s="6"/>
      <c r="H67" s="16"/>
      <c r="I67" s="16"/>
      <c r="J67" s="13"/>
      <c r="K67" s="14"/>
      <c r="O67" s="25"/>
      <c r="Z67" s="14">
        <f t="shared" ref="Z67:Z130" si="3">COUNTA(P67:Y67)</f>
        <v>0</v>
      </c>
      <c r="AA67" s="14">
        <f t="shared" ref="AA67:AA130" si="4">(Z67*0.1)</f>
        <v>0</v>
      </c>
      <c r="AD67" s="14">
        <f t="shared" ref="AD67:AD130" si="5">(H67+I67+J67+K67+AA67+AB67+AC67)</f>
        <v>0</v>
      </c>
    </row>
    <row r="68" spans="1:30" x14ac:dyDescent="0.25">
      <c r="A68">
        <v>12</v>
      </c>
      <c r="B68" t="s">
        <v>36</v>
      </c>
      <c r="C68" t="s">
        <v>15</v>
      </c>
      <c r="E68" s="7"/>
      <c r="F68" s="7"/>
      <c r="G68" s="8"/>
      <c r="H68" s="17"/>
      <c r="I68" s="17"/>
      <c r="J68" s="18"/>
      <c r="K68" s="19"/>
      <c r="O68" s="25"/>
      <c r="Z68" s="14">
        <f t="shared" si="3"/>
        <v>0</v>
      </c>
      <c r="AA68" s="14">
        <f t="shared" si="4"/>
        <v>0</v>
      </c>
      <c r="AD68" s="14">
        <f t="shared" si="5"/>
        <v>0</v>
      </c>
    </row>
    <row r="69" spans="1:30" x14ac:dyDescent="0.25">
      <c r="A69">
        <v>12</v>
      </c>
      <c r="B69" t="s">
        <v>36</v>
      </c>
      <c r="C69" t="s">
        <v>15</v>
      </c>
      <c r="E69" s="9"/>
      <c r="F69" s="10"/>
      <c r="G69" s="8"/>
      <c r="H69" s="20"/>
      <c r="I69" s="21"/>
      <c r="J69" s="18"/>
      <c r="K69" s="19"/>
      <c r="O69" s="25"/>
      <c r="Z69" s="14">
        <f t="shared" si="3"/>
        <v>0</v>
      </c>
      <c r="AA69" s="14">
        <f t="shared" si="4"/>
        <v>0</v>
      </c>
      <c r="AD69" s="14">
        <f t="shared" si="5"/>
        <v>0</v>
      </c>
    </row>
    <row r="70" spans="1:30" x14ac:dyDescent="0.25">
      <c r="A70">
        <v>12</v>
      </c>
      <c r="B70" t="s">
        <v>36</v>
      </c>
      <c r="C70" t="s">
        <v>15</v>
      </c>
      <c r="E70" s="10"/>
      <c r="F70" s="7"/>
      <c r="G70" s="8"/>
      <c r="H70" s="21"/>
      <c r="I70" s="17"/>
      <c r="J70" s="18"/>
      <c r="K70" s="19"/>
      <c r="O70" s="25"/>
      <c r="Z70" s="14">
        <f t="shared" si="3"/>
        <v>0</v>
      </c>
      <c r="AA70" s="14">
        <f t="shared" si="4"/>
        <v>0</v>
      </c>
      <c r="AD70" s="14">
        <f t="shared" si="5"/>
        <v>0</v>
      </c>
    </row>
    <row r="71" spans="1:30" x14ac:dyDescent="0.25">
      <c r="A71">
        <v>12</v>
      </c>
      <c r="B71" t="s">
        <v>36</v>
      </c>
      <c r="C71" t="s">
        <v>15</v>
      </c>
      <c r="E71" s="7"/>
      <c r="F71" s="10"/>
      <c r="G71" s="8"/>
      <c r="H71" s="17"/>
      <c r="I71" s="21"/>
      <c r="J71" s="18"/>
      <c r="K71" s="19"/>
      <c r="O71" s="25"/>
      <c r="Z71" s="14">
        <f t="shared" si="3"/>
        <v>0</v>
      </c>
      <c r="AA71" s="14">
        <f t="shared" si="4"/>
        <v>0</v>
      </c>
      <c r="AD71" s="14">
        <f t="shared" si="5"/>
        <v>0</v>
      </c>
    </row>
    <row r="72" spans="1:30" x14ac:dyDescent="0.25">
      <c r="A72">
        <v>12</v>
      </c>
      <c r="B72" t="s">
        <v>36</v>
      </c>
      <c r="C72" t="s">
        <v>15</v>
      </c>
      <c r="E72" s="9"/>
      <c r="F72" s="7"/>
      <c r="G72" s="8"/>
      <c r="H72" s="20"/>
      <c r="I72" s="17"/>
      <c r="J72" s="18"/>
      <c r="K72" s="19"/>
      <c r="O72" s="25"/>
      <c r="Z72" s="14">
        <f t="shared" si="3"/>
        <v>0</v>
      </c>
      <c r="AA72" s="14">
        <f t="shared" si="4"/>
        <v>0</v>
      </c>
      <c r="AD72" s="14">
        <f t="shared" si="5"/>
        <v>0</v>
      </c>
    </row>
    <row r="73" spans="1:30" x14ac:dyDescent="0.25">
      <c r="A73">
        <v>12</v>
      </c>
      <c r="B73" t="s">
        <v>36</v>
      </c>
      <c r="C73" t="s">
        <v>15</v>
      </c>
      <c r="E73" s="10"/>
      <c r="F73" s="10"/>
      <c r="G73" s="8"/>
      <c r="H73" s="21"/>
      <c r="I73" s="21"/>
      <c r="J73" s="18"/>
      <c r="K73" s="19"/>
      <c r="O73" s="25"/>
      <c r="Z73" s="14">
        <f t="shared" si="3"/>
        <v>0</v>
      </c>
      <c r="AA73" s="14">
        <f t="shared" si="4"/>
        <v>0</v>
      </c>
      <c r="AD73" s="14">
        <f t="shared" si="5"/>
        <v>0</v>
      </c>
    </row>
    <row r="74" spans="1:30" x14ac:dyDescent="0.25">
      <c r="A74" s="2">
        <v>13</v>
      </c>
      <c r="B74" s="2" t="s">
        <v>37</v>
      </c>
      <c r="C74" s="2" t="s">
        <v>13</v>
      </c>
      <c r="D74" s="2"/>
      <c r="E74" s="3"/>
      <c r="F74" s="3"/>
      <c r="G74" s="6"/>
      <c r="H74" s="12"/>
      <c r="I74" s="12"/>
      <c r="J74" s="13"/>
      <c r="K74" s="14"/>
      <c r="O74" s="25"/>
      <c r="Z74" s="14">
        <f t="shared" si="3"/>
        <v>0</v>
      </c>
      <c r="AA74" s="14">
        <f t="shared" si="4"/>
        <v>0</v>
      </c>
      <c r="AD74" s="14">
        <f t="shared" si="5"/>
        <v>0</v>
      </c>
    </row>
    <row r="75" spans="1:30" x14ac:dyDescent="0.25">
      <c r="A75" s="2">
        <v>13</v>
      </c>
      <c r="B75" s="2" t="s">
        <v>37</v>
      </c>
      <c r="C75" s="2" t="s">
        <v>13</v>
      </c>
      <c r="D75" s="2"/>
      <c r="E75" s="4"/>
      <c r="F75" s="5"/>
      <c r="G75" s="6"/>
      <c r="H75" s="15"/>
      <c r="I75" s="16"/>
      <c r="J75" s="13"/>
      <c r="K75" s="14"/>
      <c r="O75" s="25"/>
      <c r="Z75" s="14">
        <f t="shared" si="3"/>
        <v>0</v>
      </c>
      <c r="AA75" s="14">
        <f t="shared" si="4"/>
        <v>0</v>
      </c>
      <c r="AD75" s="14">
        <f t="shared" si="5"/>
        <v>0</v>
      </c>
    </row>
    <row r="76" spans="1:30" x14ac:dyDescent="0.25">
      <c r="A76" s="2">
        <v>13</v>
      </c>
      <c r="B76" s="2" t="s">
        <v>37</v>
      </c>
      <c r="C76" s="2" t="s">
        <v>13</v>
      </c>
      <c r="D76" s="2"/>
      <c r="E76" s="5"/>
      <c r="F76" s="3"/>
      <c r="G76" s="6"/>
      <c r="H76" s="16"/>
      <c r="I76" s="12"/>
      <c r="J76" s="13"/>
      <c r="K76" s="14"/>
      <c r="O76" s="25"/>
      <c r="Z76" s="14">
        <f t="shared" si="3"/>
        <v>0</v>
      </c>
      <c r="AA76" s="14">
        <f t="shared" si="4"/>
        <v>0</v>
      </c>
      <c r="AD76" s="14">
        <f t="shared" si="5"/>
        <v>0</v>
      </c>
    </row>
    <row r="77" spans="1:30" x14ac:dyDescent="0.25">
      <c r="A77" s="2">
        <v>13</v>
      </c>
      <c r="B77" s="2" t="s">
        <v>37</v>
      </c>
      <c r="C77" s="2" t="s">
        <v>13</v>
      </c>
      <c r="D77" s="2"/>
      <c r="E77" s="3"/>
      <c r="F77" s="5"/>
      <c r="G77" s="6"/>
      <c r="H77" s="12"/>
      <c r="I77" s="16"/>
      <c r="J77" s="13"/>
      <c r="K77" s="14"/>
      <c r="O77" s="25"/>
      <c r="Z77" s="14">
        <f t="shared" si="3"/>
        <v>0</v>
      </c>
      <c r="AA77" s="14">
        <f t="shared" si="4"/>
        <v>0</v>
      </c>
      <c r="AD77" s="14">
        <f t="shared" si="5"/>
        <v>0</v>
      </c>
    </row>
    <row r="78" spans="1:30" x14ac:dyDescent="0.25">
      <c r="A78" s="2">
        <v>13</v>
      </c>
      <c r="B78" s="2" t="s">
        <v>37</v>
      </c>
      <c r="C78" s="2" t="s">
        <v>13</v>
      </c>
      <c r="D78" s="2"/>
      <c r="E78" s="4"/>
      <c r="F78" s="3"/>
      <c r="G78" s="6"/>
      <c r="H78" s="15"/>
      <c r="I78" s="12"/>
      <c r="J78" s="13"/>
      <c r="K78" s="14"/>
      <c r="O78" s="25"/>
      <c r="Z78" s="14">
        <f t="shared" si="3"/>
        <v>0</v>
      </c>
      <c r="AA78" s="14">
        <f t="shared" si="4"/>
        <v>0</v>
      </c>
      <c r="AD78" s="14">
        <f t="shared" si="5"/>
        <v>0</v>
      </c>
    </row>
    <row r="79" spans="1:30" x14ac:dyDescent="0.25">
      <c r="A79" s="2">
        <v>13</v>
      </c>
      <c r="B79" s="2" t="s">
        <v>37</v>
      </c>
      <c r="C79" s="2" t="s">
        <v>13</v>
      </c>
      <c r="D79" s="2"/>
      <c r="E79" s="5"/>
      <c r="F79" s="5"/>
      <c r="G79" s="6"/>
      <c r="H79" s="16"/>
      <c r="I79" s="16"/>
      <c r="J79" s="13"/>
      <c r="K79" s="14"/>
      <c r="O79" s="25"/>
      <c r="Z79" s="14">
        <f t="shared" si="3"/>
        <v>0</v>
      </c>
      <c r="AA79" s="14">
        <f t="shared" si="4"/>
        <v>0</v>
      </c>
      <c r="AD79" s="14">
        <f t="shared" si="5"/>
        <v>0</v>
      </c>
    </row>
    <row r="80" spans="1:30" x14ac:dyDescent="0.25">
      <c r="A80">
        <v>14</v>
      </c>
      <c r="B80" t="s">
        <v>12</v>
      </c>
      <c r="C80" t="s">
        <v>15</v>
      </c>
      <c r="E80" s="7"/>
      <c r="F80" s="7"/>
      <c r="G80" s="8"/>
      <c r="H80" s="17"/>
      <c r="I80" s="17"/>
      <c r="J80" s="18"/>
      <c r="K80" s="19"/>
      <c r="O80" s="25"/>
      <c r="Z80" s="14">
        <f t="shared" si="3"/>
        <v>0</v>
      </c>
      <c r="AA80" s="14">
        <f t="shared" si="4"/>
        <v>0</v>
      </c>
      <c r="AD80" s="14">
        <f t="shared" si="5"/>
        <v>0</v>
      </c>
    </row>
    <row r="81" spans="1:30" x14ac:dyDescent="0.25">
      <c r="A81">
        <v>14</v>
      </c>
      <c r="B81" t="s">
        <v>12</v>
      </c>
      <c r="C81" t="s">
        <v>15</v>
      </c>
      <c r="E81" s="9"/>
      <c r="F81" s="10"/>
      <c r="G81" s="8"/>
      <c r="H81" s="20"/>
      <c r="I81" s="21"/>
      <c r="J81" s="18"/>
      <c r="K81" s="19"/>
      <c r="O81" s="25"/>
      <c r="Z81" s="14">
        <f t="shared" si="3"/>
        <v>0</v>
      </c>
      <c r="AA81" s="14">
        <f t="shared" si="4"/>
        <v>0</v>
      </c>
      <c r="AD81" s="14">
        <f t="shared" si="5"/>
        <v>0</v>
      </c>
    </row>
    <row r="82" spans="1:30" x14ac:dyDescent="0.25">
      <c r="A82">
        <v>14</v>
      </c>
      <c r="B82" t="s">
        <v>12</v>
      </c>
      <c r="C82" t="s">
        <v>15</v>
      </c>
      <c r="E82" s="10"/>
      <c r="F82" s="7"/>
      <c r="G82" s="8"/>
      <c r="H82" s="21"/>
      <c r="I82" s="17"/>
      <c r="J82" s="18"/>
      <c r="K82" s="19"/>
      <c r="O82" s="25"/>
      <c r="Z82" s="14">
        <f t="shared" si="3"/>
        <v>0</v>
      </c>
      <c r="AA82" s="14">
        <f t="shared" si="4"/>
        <v>0</v>
      </c>
      <c r="AD82" s="14">
        <f t="shared" si="5"/>
        <v>0</v>
      </c>
    </row>
    <row r="83" spans="1:30" x14ac:dyDescent="0.25">
      <c r="A83">
        <v>14</v>
      </c>
      <c r="B83" t="s">
        <v>12</v>
      </c>
      <c r="C83" t="s">
        <v>15</v>
      </c>
      <c r="E83" s="7"/>
      <c r="F83" s="10"/>
      <c r="G83" s="8"/>
      <c r="H83" s="17"/>
      <c r="I83" s="21"/>
      <c r="J83" s="18"/>
      <c r="K83" s="19"/>
      <c r="O83" s="25"/>
      <c r="Z83" s="14">
        <f t="shared" si="3"/>
        <v>0</v>
      </c>
      <c r="AA83" s="14">
        <f t="shared" si="4"/>
        <v>0</v>
      </c>
      <c r="AD83" s="14">
        <f t="shared" si="5"/>
        <v>0</v>
      </c>
    </row>
    <row r="84" spans="1:30" x14ac:dyDescent="0.25">
      <c r="A84">
        <v>14</v>
      </c>
      <c r="B84" t="s">
        <v>12</v>
      </c>
      <c r="C84" t="s">
        <v>15</v>
      </c>
      <c r="E84" s="9"/>
      <c r="F84" s="7"/>
      <c r="G84" s="8"/>
      <c r="H84" s="20"/>
      <c r="I84" s="17"/>
      <c r="J84" s="18"/>
      <c r="K84" s="19"/>
      <c r="O84" s="25"/>
      <c r="Z84" s="14">
        <f t="shared" si="3"/>
        <v>0</v>
      </c>
      <c r="AA84" s="14">
        <f t="shared" si="4"/>
        <v>0</v>
      </c>
      <c r="AD84" s="14">
        <f t="shared" si="5"/>
        <v>0</v>
      </c>
    </row>
    <row r="85" spans="1:30" x14ac:dyDescent="0.25">
      <c r="A85">
        <v>14</v>
      </c>
      <c r="B85" t="s">
        <v>12</v>
      </c>
      <c r="C85" t="s">
        <v>15</v>
      </c>
      <c r="E85" s="10"/>
      <c r="F85" s="10"/>
      <c r="G85" s="8"/>
      <c r="H85" s="21"/>
      <c r="I85" s="21"/>
      <c r="J85" s="18"/>
      <c r="K85" s="19"/>
      <c r="O85" s="25"/>
      <c r="Z85" s="14">
        <f t="shared" si="3"/>
        <v>0</v>
      </c>
      <c r="AA85" s="14">
        <f t="shared" si="4"/>
        <v>0</v>
      </c>
      <c r="AD85" s="14">
        <f t="shared" si="5"/>
        <v>0</v>
      </c>
    </row>
    <row r="86" spans="1:30" x14ac:dyDescent="0.25">
      <c r="A86" s="2">
        <v>15</v>
      </c>
      <c r="B86" s="2" t="s">
        <v>14</v>
      </c>
      <c r="C86" s="2" t="s">
        <v>13</v>
      </c>
      <c r="D86" s="2"/>
      <c r="E86" s="3"/>
      <c r="F86" s="3"/>
      <c r="G86" s="6"/>
      <c r="H86" s="12"/>
      <c r="I86" s="12"/>
      <c r="J86" s="13"/>
      <c r="K86" s="14"/>
      <c r="O86" s="25"/>
      <c r="Z86" s="14">
        <f t="shared" si="3"/>
        <v>0</v>
      </c>
      <c r="AA86" s="14">
        <f t="shared" si="4"/>
        <v>0</v>
      </c>
      <c r="AD86" s="14">
        <f t="shared" si="5"/>
        <v>0</v>
      </c>
    </row>
    <row r="87" spans="1:30" x14ac:dyDescent="0.25">
      <c r="A87" s="2">
        <v>15</v>
      </c>
      <c r="B87" s="2" t="s">
        <v>14</v>
      </c>
      <c r="C87" s="2" t="s">
        <v>13</v>
      </c>
      <c r="D87" s="2"/>
      <c r="E87" s="4"/>
      <c r="F87" s="5"/>
      <c r="G87" s="6"/>
      <c r="H87" s="15"/>
      <c r="I87" s="16"/>
      <c r="J87" s="13"/>
      <c r="K87" s="14"/>
      <c r="O87" s="25"/>
      <c r="Z87" s="14">
        <f t="shared" si="3"/>
        <v>0</v>
      </c>
      <c r="AA87" s="14">
        <f t="shared" si="4"/>
        <v>0</v>
      </c>
      <c r="AD87" s="14">
        <f t="shared" si="5"/>
        <v>0</v>
      </c>
    </row>
    <row r="88" spans="1:30" x14ac:dyDescent="0.25">
      <c r="A88" s="2">
        <v>15</v>
      </c>
      <c r="B88" s="2" t="s">
        <v>14</v>
      </c>
      <c r="C88" s="2" t="s">
        <v>13</v>
      </c>
      <c r="D88" s="2"/>
      <c r="E88" s="5"/>
      <c r="F88" s="3"/>
      <c r="G88" s="6"/>
      <c r="H88" s="16"/>
      <c r="I88" s="12"/>
      <c r="J88" s="13"/>
      <c r="K88" s="14"/>
      <c r="O88" s="25"/>
      <c r="Z88" s="14">
        <f t="shared" si="3"/>
        <v>0</v>
      </c>
      <c r="AA88" s="14">
        <f t="shared" si="4"/>
        <v>0</v>
      </c>
      <c r="AD88" s="14">
        <f t="shared" si="5"/>
        <v>0</v>
      </c>
    </row>
    <row r="89" spans="1:30" x14ac:dyDescent="0.25">
      <c r="A89" s="2">
        <v>15</v>
      </c>
      <c r="B89" s="2" t="s">
        <v>14</v>
      </c>
      <c r="C89" s="2" t="s">
        <v>13</v>
      </c>
      <c r="D89" s="2"/>
      <c r="E89" s="3"/>
      <c r="F89" s="5"/>
      <c r="G89" s="6"/>
      <c r="H89" s="12"/>
      <c r="I89" s="16"/>
      <c r="J89" s="13"/>
      <c r="K89" s="14"/>
      <c r="O89" s="25"/>
      <c r="Z89" s="14">
        <f t="shared" si="3"/>
        <v>0</v>
      </c>
      <c r="AA89" s="14">
        <f t="shared" si="4"/>
        <v>0</v>
      </c>
      <c r="AD89" s="14">
        <f t="shared" si="5"/>
        <v>0</v>
      </c>
    </row>
    <row r="90" spans="1:30" x14ac:dyDescent="0.25">
      <c r="A90" s="2">
        <v>15</v>
      </c>
      <c r="B90" s="2" t="s">
        <v>14</v>
      </c>
      <c r="C90" s="2" t="s">
        <v>13</v>
      </c>
      <c r="D90" s="2"/>
      <c r="E90" s="4"/>
      <c r="F90" s="3"/>
      <c r="G90" s="6"/>
      <c r="H90" s="15"/>
      <c r="I90" s="12"/>
      <c r="J90" s="13"/>
      <c r="K90" s="14"/>
      <c r="O90" s="25"/>
      <c r="Z90" s="14">
        <f t="shared" si="3"/>
        <v>0</v>
      </c>
      <c r="AA90" s="14">
        <f t="shared" si="4"/>
        <v>0</v>
      </c>
      <c r="AD90" s="14">
        <f t="shared" si="5"/>
        <v>0</v>
      </c>
    </row>
    <row r="91" spans="1:30" x14ac:dyDescent="0.25">
      <c r="A91" s="2">
        <v>15</v>
      </c>
      <c r="B91" s="2" t="s">
        <v>14</v>
      </c>
      <c r="C91" s="2" t="s">
        <v>13</v>
      </c>
      <c r="D91" s="2"/>
      <c r="E91" s="5"/>
      <c r="F91" s="5"/>
      <c r="G91" s="6"/>
      <c r="H91" s="16"/>
      <c r="I91" s="16"/>
      <c r="J91" s="13"/>
      <c r="K91" s="14"/>
      <c r="O91" s="25"/>
      <c r="Z91" s="14">
        <f t="shared" si="3"/>
        <v>0</v>
      </c>
      <c r="AA91" s="14">
        <f t="shared" si="4"/>
        <v>0</v>
      </c>
      <c r="AD91" s="14">
        <f t="shared" si="5"/>
        <v>0</v>
      </c>
    </row>
    <row r="92" spans="1:30" x14ac:dyDescent="0.25">
      <c r="A92">
        <v>16</v>
      </c>
      <c r="B92" t="s">
        <v>16</v>
      </c>
      <c r="C92" t="s">
        <v>15</v>
      </c>
      <c r="E92" s="7"/>
      <c r="F92" s="7"/>
      <c r="G92" s="8"/>
      <c r="H92" s="17"/>
      <c r="I92" s="17"/>
      <c r="J92" s="18"/>
      <c r="K92" s="19"/>
      <c r="O92" s="25"/>
      <c r="Z92" s="14">
        <f t="shared" si="3"/>
        <v>0</v>
      </c>
      <c r="AA92" s="14">
        <f t="shared" si="4"/>
        <v>0</v>
      </c>
      <c r="AD92" s="14">
        <f t="shared" si="5"/>
        <v>0</v>
      </c>
    </row>
    <row r="93" spans="1:30" x14ac:dyDescent="0.25">
      <c r="A93">
        <v>16</v>
      </c>
      <c r="B93" t="s">
        <v>16</v>
      </c>
      <c r="C93" t="s">
        <v>15</v>
      </c>
      <c r="E93" s="9"/>
      <c r="F93" s="10"/>
      <c r="G93" s="8"/>
      <c r="H93" s="20"/>
      <c r="I93" s="21"/>
      <c r="J93" s="18"/>
      <c r="K93" s="19"/>
      <c r="O93" s="25"/>
      <c r="Z93" s="14">
        <f t="shared" si="3"/>
        <v>0</v>
      </c>
      <c r="AA93" s="14">
        <f t="shared" si="4"/>
        <v>0</v>
      </c>
      <c r="AD93" s="14">
        <f t="shared" si="5"/>
        <v>0</v>
      </c>
    </row>
    <row r="94" spans="1:30" x14ac:dyDescent="0.25">
      <c r="A94">
        <v>16</v>
      </c>
      <c r="B94" t="s">
        <v>16</v>
      </c>
      <c r="C94" t="s">
        <v>15</v>
      </c>
      <c r="E94" s="10"/>
      <c r="F94" s="7"/>
      <c r="G94" s="8"/>
      <c r="H94" s="21"/>
      <c r="I94" s="17"/>
      <c r="J94" s="18"/>
      <c r="K94" s="19"/>
      <c r="O94" s="25"/>
      <c r="Z94" s="14">
        <f t="shared" si="3"/>
        <v>0</v>
      </c>
      <c r="AA94" s="14">
        <f t="shared" si="4"/>
        <v>0</v>
      </c>
      <c r="AD94" s="14">
        <f t="shared" si="5"/>
        <v>0</v>
      </c>
    </row>
    <row r="95" spans="1:30" x14ac:dyDescent="0.25">
      <c r="A95">
        <v>16</v>
      </c>
      <c r="B95" t="s">
        <v>16</v>
      </c>
      <c r="C95" t="s">
        <v>15</v>
      </c>
      <c r="E95" s="7"/>
      <c r="F95" s="10"/>
      <c r="G95" s="8"/>
      <c r="H95" s="17"/>
      <c r="I95" s="21"/>
      <c r="J95" s="18"/>
      <c r="K95" s="19"/>
      <c r="O95" s="25"/>
      <c r="Z95" s="14">
        <f t="shared" si="3"/>
        <v>0</v>
      </c>
      <c r="AA95" s="14">
        <f t="shared" si="4"/>
        <v>0</v>
      </c>
      <c r="AD95" s="14">
        <f t="shared" si="5"/>
        <v>0</v>
      </c>
    </row>
    <row r="96" spans="1:30" x14ac:dyDescent="0.25">
      <c r="A96">
        <v>16</v>
      </c>
      <c r="B96" t="s">
        <v>16</v>
      </c>
      <c r="C96" t="s">
        <v>15</v>
      </c>
      <c r="E96" s="9"/>
      <c r="F96" s="7"/>
      <c r="G96" s="8"/>
      <c r="H96" s="20"/>
      <c r="I96" s="17"/>
      <c r="J96" s="18"/>
      <c r="K96" s="19"/>
      <c r="O96" s="25"/>
      <c r="Z96" s="14">
        <f t="shared" si="3"/>
        <v>0</v>
      </c>
      <c r="AA96" s="14">
        <f t="shared" si="4"/>
        <v>0</v>
      </c>
      <c r="AD96" s="14">
        <f t="shared" si="5"/>
        <v>0</v>
      </c>
    </row>
    <row r="97" spans="1:30" x14ac:dyDescent="0.25">
      <c r="A97">
        <v>16</v>
      </c>
      <c r="B97" t="s">
        <v>16</v>
      </c>
      <c r="C97" t="s">
        <v>15</v>
      </c>
      <c r="E97" s="10"/>
      <c r="F97" s="10"/>
      <c r="G97" s="8"/>
      <c r="H97" s="21"/>
      <c r="I97" s="21"/>
      <c r="J97" s="18"/>
      <c r="K97" s="19"/>
      <c r="O97" s="25"/>
      <c r="Z97" s="14">
        <f t="shared" si="3"/>
        <v>0</v>
      </c>
      <c r="AA97" s="14">
        <f t="shared" si="4"/>
        <v>0</v>
      </c>
      <c r="AD97" s="14">
        <f t="shared" si="5"/>
        <v>0</v>
      </c>
    </row>
    <row r="98" spans="1:30" x14ac:dyDescent="0.25">
      <c r="A98" s="2">
        <v>17</v>
      </c>
      <c r="B98" s="2" t="s">
        <v>17</v>
      </c>
      <c r="C98" s="2" t="s">
        <v>13</v>
      </c>
      <c r="D98" s="2"/>
      <c r="E98" s="3"/>
      <c r="F98" s="3"/>
      <c r="G98" s="6"/>
      <c r="H98" s="12"/>
      <c r="I98" s="12"/>
      <c r="J98" s="13"/>
      <c r="K98" s="14"/>
      <c r="O98" s="25"/>
      <c r="Z98" s="14">
        <f t="shared" si="3"/>
        <v>0</v>
      </c>
      <c r="AA98" s="14">
        <f t="shared" si="4"/>
        <v>0</v>
      </c>
      <c r="AD98" s="14">
        <f t="shared" si="5"/>
        <v>0</v>
      </c>
    </row>
    <row r="99" spans="1:30" x14ac:dyDescent="0.25">
      <c r="A99" s="2">
        <v>17</v>
      </c>
      <c r="B99" s="2" t="s">
        <v>17</v>
      </c>
      <c r="C99" s="2" t="s">
        <v>13</v>
      </c>
      <c r="D99" s="2"/>
      <c r="E99" s="4"/>
      <c r="F99" s="5"/>
      <c r="G99" s="6"/>
      <c r="H99" s="15"/>
      <c r="I99" s="16"/>
      <c r="J99" s="13"/>
      <c r="K99" s="14"/>
      <c r="O99" s="25"/>
      <c r="Z99" s="14">
        <f t="shared" si="3"/>
        <v>0</v>
      </c>
      <c r="AA99" s="14">
        <f t="shared" si="4"/>
        <v>0</v>
      </c>
      <c r="AD99" s="14">
        <f t="shared" si="5"/>
        <v>0</v>
      </c>
    </row>
    <row r="100" spans="1:30" x14ac:dyDescent="0.25">
      <c r="A100" s="2">
        <v>17</v>
      </c>
      <c r="B100" s="2" t="s">
        <v>17</v>
      </c>
      <c r="C100" s="2" t="s">
        <v>13</v>
      </c>
      <c r="D100" s="2"/>
      <c r="E100" s="5"/>
      <c r="F100" s="3"/>
      <c r="G100" s="6"/>
      <c r="H100" s="16"/>
      <c r="I100" s="12"/>
      <c r="J100" s="13"/>
      <c r="K100" s="14"/>
      <c r="O100" s="25"/>
      <c r="Z100" s="14">
        <f t="shared" si="3"/>
        <v>0</v>
      </c>
      <c r="AA100" s="14">
        <f t="shared" si="4"/>
        <v>0</v>
      </c>
      <c r="AD100" s="14">
        <f t="shared" si="5"/>
        <v>0</v>
      </c>
    </row>
    <row r="101" spans="1:30" x14ac:dyDescent="0.25">
      <c r="A101" s="2">
        <v>17</v>
      </c>
      <c r="B101" s="2" t="s">
        <v>17</v>
      </c>
      <c r="C101" s="2" t="s">
        <v>13</v>
      </c>
      <c r="D101" s="2"/>
      <c r="E101" s="3"/>
      <c r="F101" s="5"/>
      <c r="G101" s="6"/>
      <c r="H101" s="12"/>
      <c r="I101" s="16"/>
      <c r="J101" s="13"/>
      <c r="K101" s="14"/>
      <c r="O101" s="25"/>
      <c r="Z101" s="14">
        <f t="shared" si="3"/>
        <v>0</v>
      </c>
      <c r="AA101" s="14">
        <f t="shared" si="4"/>
        <v>0</v>
      </c>
      <c r="AD101" s="14">
        <f t="shared" si="5"/>
        <v>0</v>
      </c>
    </row>
    <row r="102" spans="1:30" x14ac:dyDescent="0.25">
      <c r="A102" s="2">
        <v>17</v>
      </c>
      <c r="B102" s="2" t="s">
        <v>17</v>
      </c>
      <c r="C102" s="2" t="s">
        <v>13</v>
      </c>
      <c r="D102" s="2"/>
      <c r="E102" s="4"/>
      <c r="F102" s="3"/>
      <c r="G102" s="6"/>
      <c r="H102" s="15"/>
      <c r="I102" s="12"/>
      <c r="J102" s="13"/>
      <c r="K102" s="14"/>
      <c r="O102" s="25"/>
      <c r="Z102" s="14">
        <f t="shared" si="3"/>
        <v>0</v>
      </c>
      <c r="AA102" s="14">
        <f t="shared" si="4"/>
        <v>0</v>
      </c>
      <c r="AD102" s="14">
        <f t="shared" si="5"/>
        <v>0</v>
      </c>
    </row>
    <row r="103" spans="1:30" x14ac:dyDescent="0.25">
      <c r="A103" s="2">
        <v>17</v>
      </c>
      <c r="B103" s="2" t="s">
        <v>17</v>
      </c>
      <c r="C103" s="2" t="s">
        <v>13</v>
      </c>
      <c r="D103" s="2"/>
      <c r="E103" s="5"/>
      <c r="F103" s="5"/>
      <c r="G103" s="6"/>
      <c r="H103" s="16"/>
      <c r="I103" s="16"/>
      <c r="J103" s="13"/>
      <c r="K103" s="14"/>
      <c r="O103" s="25"/>
      <c r="Z103" s="14">
        <f t="shared" si="3"/>
        <v>0</v>
      </c>
      <c r="AA103" s="14">
        <f t="shared" si="4"/>
        <v>0</v>
      </c>
      <c r="AD103" s="14">
        <f t="shared" si="5"/>
        <v>0</v>
      </c>
    </row>
    <row r="104" spans="1:30" x14ac:dyDescent="0.25">
      <c r="A104">
        <v>18</v>
      </c>
      <c r="B104" t="s">
        <v>29</v>
      </c>
      <c r="E104" s="7"/>
      <c r="F104" s="7"/>
      <c r="G104" s="8"/>
      <c r="H104" s="17"/>
      <c r="I104" s="17"/>
      <c r="J104" s="18"/>
      <c r="K104" s="19"/>
      <c r="O104" s="25"/>
      <c r="Z104" s="14">
        <f t="shared" si="3"/>
        <v>0</v>
      </c>
      <c r="AA104" s="14">
        <f t="shared" si="4"/>
        <v>0</v>
      </c>
      <c r="AD104" s="14">
        <f t="shared" si="5"/>
        <v>0</v>
      </c>
    </row>
    <row r="105" spans="1:30" x14ac:dyDescent="0.25">
      <c r="A105">
        <v>18</v>
      </c>
      <c r="B105" t="s">
        <v>29</v>
      </c>
      <c r="E105" s="9"/>
      <c r="F105" s="10"/>
      <c r="G105" s="8"/>
      <c r="H105" s="20"/>
      <c r="I105" s="21"/>
      <c r="J105" s="18"/>
      <c r="K105" s="19"/>
      <c r="O105" s="25"/>
      <c r="Z105" s="14">
        <f t="shared" si="3"/>
        <v>0</v>
      </c>
      <c r="AA105" s="14">
        <f t="shared" si="4"/>
        <v>0</v>
      </c>
      <c r="AD105" s="14">
        <f t="shared" si="5"/>
        <v>0</v>
      </c>
    </row>
    <row r="106" spans="1:30" x14ac:dyDescent="0.25">
      <c r="A106">
        <v>18</v>
      </c>
      <c r="B106" t="s">
        <v>29</v>
      </c>
      <c r="E106" s="10"/>
      <c r="F106" s="7"/>
      <c r="G106" s="8"/>
      <c r="H106" s="21"/>
      <c r="I106" s="17"/>
      <c r="J106" s="18"/>
      <c r="K106" s="19"/>
      <c r="O106" s="25"/>
      <c r="Z106" s="14">
        <f t="shared" si="3"/>
        <v>0</v>
      </c>
      <c r="AA106" s="14">
        <f t="shared" si="4"/>
        <v>0</v>
      </c>
      <c r="AD106" s="14">
        <f t="shared" si="5"/>
        <v>0</v>
      </c>
    </row>
    <row r="107" spans="1:30" x14ac:dyDescent="0.25">
      <c r="A107">
        <v>18</v>
      </c>
      <c r="B107" t="s">
        <v>29</v>
      </c>
      <c r="E107" s="7"/>
      <c r="F107" s="10"/>
      <c r="G107" s="8"/>
      <c r="H107" s="17"/>
      <c r="I107" s="21"/>
      <c r="J107" s="18"/>
      <c r="K107" s="19"/>
      <c r="O107" s="25"/>
      <c r="Z107" s="14">
        <f t="shared" si="3"/>
        <v>0</v>
      </c>
      <c r="AA107" s="14">
        <f t="shared" si="4"/>
        <v>0</v>
      </c>
      <c r="AD107" s="14">
        <f t="shared" si="5"/>
        <v>0</v>
      </c>
    </row>
    <row r="108" spans="1:30" x14ac:dyDescent="0.25">
      <c r="A108">
        <v>18</v>
      </c>
      <c r="B108" t="s">
        <v>29</v>
      </c>
      <c r="E108" s="9"/>
      <c r="F108" s="7"/>
      <c r="G108" s="8"/>
      <c r="H108" s="20"/>
      <c r="I108" s="17"/>
      <c r="J108" s="18"/>
      <c r="K108" s="19"/>
      <c r="O108" s="25"/>
      <c r="Z108" s="14">
        <f t="shared" si="3"/>
        <v>0</v>
      </c>
      <c r="AA108" s="14">
        <f t="shared" si="4"/>
        <v>0</v>
      </c>
      <c r="AD108" s="14">
        <f t="shared" si="5"/>
        <v>0</v>
      </c>
    </row>
    <row r="109" spans="1:30" x14ac:dyDescent="0.25">
      <c r="A109">
        <v>18</v>
      </c>
      <c r="B109" t="s">
        <v>29</v>
      </c>
      <c r="E109" s="10"/>
      <c r="F109" s="10"/>
      <c r="G109" s="8"/>
      <c r="H109" s="21"/>
      <c r="I109" s="21"/>
      <c r="J109" s="18"/>
      <c r="K109" s="19"/>
      <c r="O109" s="25"/>
      <c r="Z109" s="14">
        <f t="shared" si="3"/>
        <v>0</v>
      </c>
      <c r="AA109" s="14">
        <f t="shared" si="4"/>
        <v>0</v>
      </c>
      <c r="AD109" s="14">
        <f t="shared" si="5"/>
        <v>0</v>
      </c>
    </row>
    <row r="110" spans="1:30" x14ac:dyDescent="0.25">
      <c r="A110" s="2">
        <v>19</v>
      </c>
      <c r="B110" s="2" t="s">
        <v>30</v>
      </c>
      <c r="C110" s="2" t="s">
        <v>15</v>
      </c>
      <c r="D110" s="2"/>
      <c r="E110" s="3"/>
      <c r="F110" s="3"/>
      <c r="G110" s="6"/>
      <c r="H110" s="12"/>
      <c r="I110" s="12"/>
      <c r="J110" s="13"/>
      <c r="K110" s="14"/>
      <c r="O110" s="25"/>
      <c r="Z110" s="14">
        <f t="shared" si="3"/>
        <v>0</v>
      </c>
      <c r="AA110" s="14">
        <f t="shared" si="4"/>
        <v>0</v>
      </c>
      <c r="AD110" s="14">
        <f t="shared" si="5"/>
        <v>0</v>
      </c>
    </row>
    <row r="111" spans="1:30" x14ac:dyDescent="0.25">
      <c r="A111" s="2">
        <v>19</v>
      </c>
      <c r="B111" s="2" t="s">
        <v>30</v>
      </c>
      <c r="C111" s="2" t="s">
        <v>15</v>
      </c>
      <c r="D111" s="2"/>
      <c r="E111" s="4"/>
      <c r="F111" s="5"/>
      <c r="G111" s="6"/>
      <c r="H111" s="15"/>
      <c r="I111" s="16"/>
      <c r="J111" s="13"/>
      <c r="K111" s="14"/>
      <c r="O111" s="25"/>
      <c r="Z111" s="14">
        <f t="shared" si="3"/>
        <v>0</v>
      </c>
      <c r="AA111" s="14">
        <f t="shared" si="4"/>
        <v>0</v>
      </c>
      <c r="AD111" s="14">
        <f t="shared" si="5"/>
        <v>0</v>
      </c>
    </row>
    <row r="112" spans="1:30" x14ac:dyDescent="0.25">
      <c r="A112" s="2">
        <v>19</v>
      </c>
      <c r="B112" s="2" t="s">
        <v>30</v>
      </c>
      <c r="C112" s="2" t="s">
        <v>15</v>
      </c>
      <c r="D112" s="2"/>
      <c r="E112" s="5"/>
      <c r="F112" s="3"/>
      <c r="G112" s="6"/>
      <c r="H112" s="16"/>
      <c r="I112" s="12"/>
      <c r="J112" s="13"/>
      <c r="K112" s="14"/>
      <c r="O112" s="25"/>
      <c r="Z112" s="14">
        <f t="shared" si="3"/>
        <v>0</v>
      </c>
      <c r="AA112" s="14">
        <f t="shared" si="4"/>
        <v>0</v>
      </c>
      <c r="AD112" s="14">
        <f t="shared" si="5"/>
        <v>0</v>
      </c>
    </row>
    <row r="113" spans="1:30" x14ac:dyDescent="0.25">
      <c r="A113" s="2">
        <v>19</v>
      </c>
      <c r="B113" s="2" t="s">
        <v>30</v>
      </c>
      <c r="C113" s="2" t="s">
        <v>15</v>
      </c>
      <c r="D113" s="2"/>
      <c r="E113" s="3"/>
      <c r="F113" s="5"/>
      <c r="G113" s="6"/>
      <c r="H113" s="12"/>
      <c r="I113" s="16"/>
      <c r="J113" s="13"/>
      <c r="K113" s="14"/>
      <c r="O113" s="25"/>
      <c r="Z113" s="14">
        <f t="shared" si="3"/>
        <v>0</v>
      </c>
      <c r="AA113" s="14">
        <f t="shared" si="4"/>
        <v>0</v>
      </c>
      <c r="AD113" s="14">
        <f t="shared" si="5"/>
        <v>0</v>
      </c>
    </row>
    <row r="114" spans="1:30" x14ac:dyDescent="0.25">
      <c r="A114" s="2">
        <v>19</v>
      </c>
      <c r="B114" s="2" t="s">
        <v>30</v>
      </c>
      <c r="C114" s="2" t="s">
        <v>15</v>
      </c>
      <c r="D114" s="2"/>
      <c r="E114" s="4"/>
      <c r="F114" s="3"/>
      <c r="G114" s="6"/>
      <c r="H114" s="15"/>
      <c r="I114" s="12"/>
      <c r="J114" s="13"/>
      <c r="K114" s="14"/>
      <c r="O114" s="25"/>
      <c r="Z114" s="14">
        <f t="shared" si="3"/>
        <v>0</v>
      </c>
      <c r="AA114" s="14">
        <f t="shared" si="4"/>
        <v>0</v>
      </c>
      <c r="AD114" s="14">
        <f t="shared" si="5"/>
        <v>0</v>
      </c>
    </row>
    <row r="115" spans="1:30" x14ac:dyDescent="0.25">
      <c r="A115" s="2">
        <v>19</v>
      </c>
      <c r="B115" s="2" t="s">
        <v>30</v>
      </c>
      <c r="C115" s="2" t="s">
        <v>15</v>
      </c>
      <c r="D115" s="2"/>
      <c r="E115" s="5"/>
      <c r="F115" s="5"/>
      <c r="G115" s="6"/>
      <c r="H115" s="16"/>
      <c r="I115" s="16"/>
      <c r="J115" s="13"/>
      <c r="K115" s="14"/>
      <c r="O115" s="25"/>
      <c r="Z115" s="14">
        <f t="shared" si="3"/>
        <v>0</v>
      </c>
      <c r="AA115" s="14">
        <f t="shared" si="4"/>
        <v>0</v>
      </c>
      <c r="AD115" s="14">
        <f t="shared" si="5"/>
        <v>0</v>
      </c>
    </row>
    <row r="116" spans="1:30" x14ac:dyDescent="0.25">
      <c r="A116">
        <v>20</v>
      </c>
      <c r="B116" t="s">
        <v>31</v>
      </c>
      <c r="C116" t="s">
        <v>13</v>
      </c>
      <c r="E116" s="7"/>
      <c r="F116" s="7"/>
      <c r="G116" s="8"/>
      <c r="H116" s="17"/>
      <c r="I116" s="17"/>
      <c r="J116" s="18"/>
      <c r="K116" s="19"/>
      <c r="O116" s="25"/>
      <c r="Z116" s="14">
        <f t="shared" si="3"/>
        <v>0</v>
      </c>
      <c r="AA116" s="14">
        <f t="shared" si="4"/>
        <v>0</v>
      </c>
      <c r="AD116" s="14">
        <f t="shared" si="5"/>
        <v>0</v>
      </c>
    </row>
    <row r="117" spans="1:30" x14ac:dyDescent="0.25">
      <c r="A117">
        <v>20</v>
      </c>
      <c r="B117" t="s">
        <v>31</v>
      </c>
      <c r="C117" t="s">
        <v>13</v>
      </c>
      <c r="E117" s="9"/>
      <c r="F117" s="10"/>
      <c r="G117" s="8"/>
      <c r="H117" s="20"/>
      <c r="I117" s="21"/>
      <c r="J117" s="18"/>
      <c r="K117" s="19"/>
      <c r="O117" s="25"/>
      <c r="Z117" s="14">
        <f t="shared" si="3"/>
        <v>0</v>
      </c>
      <c r="AA117" s="14">
        <f t="shared" si="4"/>
        <v>0</v>
      </c>
      <c r="AD117" s="14">
        <f t="shared" si="5"/>
        <v>0</v>
      </c>
    </row>
    <row r="118" spans="1:30" x14ac:dyDescent="0.25">
      <c r="A118">
        <v>20</v>
      </c>
      <c r="B118" t="s">
        <v>31</v>
      </c>
      <c r="C118" t="s">
        <v>13</v>
      </c>
      <c r="E118" s="10"/>
      <c r="F118" s="7"/>
      <c r="G118" s="8"/>
      <c r="H118" s="21"/>
      <c r="I118" s="17"/>
      <c r="J118" s="18"/>
      <c r="K118" s="19"/>
      <c r="O118" s="25"/>
      <c r="Z118" s="14">
        <f t="shared" si="3"/>
        <v>0</v>
      </c>
      <c r="AA118" s="14">
        <f t="shared" si="4"/>
        <v>0</v>
      </c>
      <c r="AD118" s="14">
        <f t="shared" si="5"/>
        <v>0</v>
      </c>
    </row>
    <row r="119" spans="1:30" x14ac:dyDescent="0.25">
      <c r="A119">
        <v>20</v>
      </c>
      <c r="B119" t="s">
        <v>31</v>
      </c>
      <c r="C119" t="s">
        <v>13</v>
      </c>
      <c r="E119" s="7"/>
      <c r="F119" s="10"/>
      <c r="G119" s="8"/>
      <c r="H119" s="17"/>
      <c r="I119" s="21"/>
      <c r="J119" s="18"/>
      <c r="K119" s="19"/>
      <c r="O119" s="25"/>
      <c r="Z119" s="14">
        <f t="shared" si="3"/>
        <v>0</v>
      </c>
      <c r="AA119" s="14">
        <f t="shared" si="4"/>
        <v>0</v>
      </c>
      <c r="AD119" s="14">
        <f t="shared" si="5"/>
        <v>0</v>
      </c>
    </row>
    <row r="120" spans="1:30" x14ac:dyDescent="0.25">
      <c r="A120">
        <v>20</v>
      </c>
      <c r="B120" t="s">
        <v>31</v>
      </c>
      <c r="C120" t="s">
        <v>13</v>
      </c>
      <c r="E120" s="9"/>
      <c r="F120" s="7"/>
      <c r="G120" s="8"/>
      <c r="H120" s="20"/>
      <c r="I120" s="17"/>
      <c r="J120" s="18"/>
      <c r="K120" s="19"/>
      <c r="O120" s="25"/>
      <c r="Z120" s="14">
        <f t="shared" si="3"/>
        <v>0</v>
      </c>
      <c r="AA120" s="14">
        <f t="shared" si="4"/>
        <v>0</v>
      </c>
      <c r="AD120" s="14">
        <f t="shared" si="5"/>
        <v>0</v>
      </c>
    </row>
    <row r="121" spans="1:30" x14ac:dyDescent="0.25">
      <c r="A121">
        <v>20</v>
      </c>
      <c r="B121" t="s">
        <v>31</v>
      </c>
      <c r="C121" t="s">
        <v>13</v>
      </c>
      <c r="E121" s="10"/>
      <c r="F121" s="10"/>
      <c r="G121" s="8"/>
      <c r="H121" s="21"/>
      <c r="I121" s="21"/>
      <c r="J121" s="18"/>
      <c r="K121" s="19"/>
      <c r="O121" s="25"/>
      <c r="Z121" s="14">
        <f t="shared" si="3"/>
        <v>0</v>
      </c>
      <c r="AA121" s="14">
        <f t="shared" si="4"/>
        <v>0</v>
      </c>
      <c r="AD121" s="14">
        <f t="shared" si="5"/>
        <v>0</v>
      </c>
    </row>
    <row r="122" spans="1:30" x14ac:dyDescent="0.25">
      <c r="A122" s="2">
        <v>21</v>
      </c>
      <c r="B122" s="2" t="s">
        <v>32</v>
      </c>
      <c r="C122" s="2" t="s">
        <v>13</v>
      </c>
      <c r="D122" s="2"/>
      <c r="E122" s="3"/>
      <c r="F122" s="3"/>
      <c r="G122" s="6"/>
      <c r="H122" s="12"/>
      <c r="I122" s="12"/>
      <c r="J122" s="13"/>
      <c r="K122" s="14"/>
      <c r="O122" s="25"/>
      <c r="Z122" s="14">
        <f t="shared" si="3"/>
        <v>0</v>
      </c>
      <c r="AA122" s="14">
        <f t="shared" si="4"/>
        <v>0</v>
      </c>
      <c r="AD122" s="14">
        <f t="shared" si="5"/>
        <v>0</v>
      </c>
    </row>
    <row r="123" spans="1:30" x14ac:dyDescent="0.25">
      <c r="A123" s="2">
        <v>21</v>
      </c>
      <c r="B123" s="2" t="s">
        <v>32</v>
      </c>
      <c r="C123" s="2" t="s">
        <v>13</v>
      </c>
      <c r="D123" s="2"/>
      <c r="E123" s="4"/>
      <c r="F123" s="5"/>
      <c r="G123" s="6"/>
      <c r="H123" s="15"/>
      <c r="I123" s="16"/>
      <c r="J123" s="13"/>
      <c r="K123" s="14"/>
      <c r="O123" s="25"/>
      <c r="Z123" s="14">
        <f t="shared" si="3"/>
        <v>0</v>
      </c>
      <c r="AA123" s="14">
        <f t="shared" si="4"/>
        <v>0</v>
      </c>
      <c r="AD123" s="14">
        <f t="shared" si="5"/>
        <v>0</v>
      </c>
    </row>
    <row r="124" spans="1:30" x14ac:dyDescent="0.25">
      <c r="A124" s="2">
        <v>21</v>
      </c>
      <c r="B124" s="2" t="s">
        <v>32</v>
      </c>
      <c r="C124" s="2" t="s">
        <v>13</v>
      </c>
      <c r="D124" s="2"/>
      <c r="E124" s="5"/>
      <c r="F124" s="3"/>
      <c r="G124" s="6"/>
      <c r="H124" s="16"/>
      <c r="I124" s="12"/>
      <c r="J124" s="13"/>
      <c r="K124" s="14"/>
      <c r="O124" s="25"/>
      <c r="Z124" s="14">
        <f t="shared" si="3"/>
        <v>0</v>
      </c>
      <c r="AA124" s="14">
        <f t="shared" si="4"/>
        <v>0</v>
      </c>
      <c r="AD124" s="14">
        <f t="shared" si="5"/>
        <v>0</v>
      </c>
    </row>
    <row r="125" spans="1:30" x14ac:dyDescent="0.25">
      <c r="A125" s="2">
        <v>21</v>
      </c>
      <c r="B125" s="2" t="s">
        <v>32</v>
      </c>
      <c r="C125" s="2" t="s">
        <v>13</v>
      </c>
      <c r="D125" s="2"/>
      <c r="E125" s="3"/>
      <c r="F125" s="5"/>
      <c r="G125" s="6"/>
      <c r="H125" s="12"/>
      <c r="I125" s="16"/>
      <c r="J125" s="13"/>
      <c r="K125" s="14"/>
      <c r="O125" s="25"/>
      <c r="Z125" s="14">
        <f t="shared" si="3"/>
        <v>0</v>
      </c>
      <c r="AA125" s="14">
        <f t="shared" si="4"/>
        <v>0</v>
      </c>
      <c r="AD125" s="14">
        <f t="shared" si="5"/>
        <v>0</v>
      </c>
    </row>
    <row r="126" spans="1:30" x14ac:dyDescent="0.25">
      <c r="A126" s="2">
        <v>21</v>
      </c>
      <c r="B126" s="2" t="s">
        <v>32</v>
      </c>
      <c r="C126" s="2" t="s">
        <v>13</v>
      </c>
      <c r="D126" s="2"/>
      <c r="E126" s="4"/>
      <c r="F126" s="3"/>
      <c r="G126" s="6"/>
      <c r="H126" s="15"/>
      <c r="I126" s="12"/>
      <c r="J126" s="13"/>
      <c r="K126" s="14"/>
      <c r="O126" s="25"/>
      <c r="Z126" s="14">
        <f t="shared" si="3"/>
        <v>0</v>
      </c>
      <c r="AA126" s="14">
        <f t="shared" si="4"/>
        <v>0</v>
      </c>
      <c r="AD126" s="14">
        <f t="shared" si="5"/>
        <v>0</v>
      </c>
    </row>
    <row r="127" spans="1:30" x14ac:dyDescent="0.25">
      <c r="A127" s="2">
        <v>21</v>
      </c>
      <c r="B127" s="2" t="s">
        <v>32</v>
      </c>
      <c r="C127" s="2" t="s">
        <v>13</v>
      </c>
      <c r="D127" s="2"/>
      <c r="E127" s="5"/>
      <c r="F127" s="5"/>
      <c r="G127" s="6"/>
      <c r="H127" s="16"/>
      <c r="I127" s="16"/>
      <c r="J127" s="13"/>
      <c r="K127" s="14"/>
      <c r="O127" s="25"/>
      <c r="Z127" s="14">
        <f t="shared" si="3"/>
        <v>0</v>
      </c>
      <c r="AA127" s="14">
        <f t="shared" si="4"/>
        <v>0</v>
      </c>
      <c r="AD127" s="14">
        <f t="shared" si="5"/>
        <v>0</v>
      </c>
    </row>
    <row r="128" spans="1:30" x14ac:dyDescent="0.25">
      <c r="A128">
        <v>22</v>
      </c>
      <c r="B128" t="s">
        <v>33</v>
      </c>
      <c r="C128" t="s">
        <v>15</v>
      </c>
      <c r="E128" s="7"/>
      <c r="F128" s="7"/>
      <c r="G128" s="8"/>
      <c r="H128" s="17"/>
      <c r="I128" s="17"/>
      <c r="J128" s="18"/>
      <c r="K128" s="19"/>
      <c r="O128" s="25"/>
      <c r="Z128" s="14">
        <f t="shared" si="3"/>
        <v>0</v>
      </c>
      <c r="AA128" s="14">
        <f t="shared" si="4"/>
        <v>0</v>
      </c>
      <c r="AD128" s="14">
        <f t="shared" si="5"/>
        <v>0</v>
      </c>
    </row>
    <row r="129" spans="1:30" x14ac:dyDescent="0.25">
      <c r="A129">
        <v>22</v>
      </c>
      <c r="B129" t="s">
        <v>33</v>
      </c>
      <c r="C129" t="s">
        <v>15</v>
      </c>
      <c r="E129" s="9"/>
      <c r="F129" s="10"/>
      <c r="G129" s="8"/>
      <c r="H129" s="20"/>
      <c r="I129" s="21"/>
      <c r="J129" s="18"/>
      <c r="K129" s="19"/>
      <c r="O129" s="25"/>
      <c r="Z129" s="14">
        <f t="shared" si="3"/>
        <v>0</v>
      </c>
      <c r="AA129" s="14">
        <f t="shared" si="4"/>
        <v>0</v>
      </c>
      <c r="AD129" s="14">
        <f t="shared" si="5"/>
        <v>0</v>
      </c>
    </row>
    <row r="130" spans="1:30" x14ac:dyDescent="0.25">
      <c r="A130">
        <v>22</v>
      </c>
      <c r="B130" t="s">
        <v>33</v>
      </c>
      <c r="C130" t="s">
        <v>15</v>
      </c>
      <c r="E130" s="10"/>
      <c r="F130" s="7"/>
      <c r="G130" s="8"/>
      <c r="H130" s="21"/>
      <c r="I130" s="17"/>
      <c r="J130" s="18"/>
      <c r="K130" s="19"/>
      <c r="O130" s="25"/>
      <c r="Z130" s="14">
        <f t="shared" si="3"/>
        <v>0</v>
      </c>
      <c r="AA130" s="14">
        <f t="shared" si="4"/>
        <v>0</v>
      </c>
      <c r="AD130" s="14">
        <f t="shared" si="5"/>
        <v>0</v>
      </c>
    </row>
    <row r="131" spans="1:30" x14ac:dyDescent="0.25">
      <c r="A131">
        <v>22</v>
      </c>
      <c r="B131" t="s">
        <v>33</v>
      </c>
      <c r="C131" t="s">
        <v>15</v>
      </c>
      <c r="E131" s="7"/>
      <c r="F131" s="10"/>
      <c r="G131" s="8"/>
      <c r="H131" s="17"/>
      <c r="I131" s="21"/>
      <c r="J131" s="18"/>
      <c r="K131" s="19"/>
      <c r="O131" s="25"/>
      <c r="Z131" s="14">
        <f t="shared" ref="Z131:Z157" si="6">COUNTA(P131:Y131)</f>
        <v>0</v>
      </c>
      <c r="AA131" s="14">
        <f t="shared" ref="AA131:AA157" si="7">(Z131*0.1)</f>
        <v>0</v>
      </c>
      <c r="AD131" s="14">
        <f t="shared" ref="AD131:AD157" si="8">(H131+I131+J131+K131+AA131+AB131+AC131)</f>
        <v>0</v>
      </c>
    </row>
    <row r="132" spans="1:30" x14ac:dyDescent="0.25">
      <c r="A132">
        <v>22</v>
      </c>
      <c r="B132" t="s">
        <v>33</v>
      </c>
      <c r="C132" t="s">
        <v>15</v>
      </c>
      <c r="E132" s="9"/>
      <c r="F132" s="7"/>
      <c r="G132" s="8"/>
      <c r="H132" s="20"/>
      <c r="I132" s="17"/>
      <c r="J132" s="18"/>
      <c r="K132" s="19"/>
      <c r="O132" s="25"/>
      <c r="Z132" s="14">
        <f t="shared" si="6"/>
        <v>0</v>
      </c>
      <c r="AA132" s="14">
        <f t="shared" si="7"/>
        <v>0</v>
      </c>
      <c r="AD132" s="14">
        <f t="shared" si="8"/>
        <v>0</v>
      </c>
    </row>
    <row r="133" spans="1:30" x14ac:dyDescent="0.25">
      <c r="A133">
        <v>22</v>
      </c>
      <c r="B133" t="s">
        <v>33</v>
      </c>
      <c r="C133" t="s">
        <v>15</v>
      </c>
      <c r="E133" s="10"/>
      <c r="F133" s="10"/>
      <c r="G133" s="8"/>
      <c r="H133" s="21"/>
      <c r="I133" s="21"/>
      <c r="J133" s="18"/>
      <c r="K133" s="19"/>
      <c r="O133" s="25"/>
      <c r="Z133" s="14">
        <f t="shared" si="6"/>
        <v>0</v>
      </c>
      <c r="AA133" s="14">
        <f t="shared" si="7"/>
        <v>0</v>
      </c>
      <c r="AD133" s="14">
        <f t="shared" si="8"/>
        <v>0</v>
      </c>
    </row>
    <row r="134" spans="1:30" x14ac:dyDescent="0.25">
      <c r="A134" s="2">
        <v>23</v>
      </c>
      <c r="B134" s="2" t="s">
        <v>34</v>
      </c>
      <c r="C134" s="2" t="s">
        <v>13</v>
      </c>
      <c r="D134" s="2"/>
      <c r="E134" s="3"/>
      <c r="F134" s="3"/>
      <c r="G134" s="6"/>
      <c r="H134" s="12"/>
      <c r="I134" s="12"/>
      <c r="J134" s="13"/>
      <c r="K134" s="14"/>
      <c r="O134" s="25"/>
      <c r="Z134" s="14">
        <f t="shared" si="6"/>
        <v>0</v>
      </c>
      <c r="AA134" s="14">
        <f t="shared" si="7"/>
        <v>0</v>
      </c>
      <c r="AD134" s="14">
        <f t="shared" si="8"/>
        <v>0</v>
      </c>
    </row>
    <row r="135" spans="1:30" x14ac:dyDescent="0.25">
      <c r="A135" s="2">
        <v>23</v>
      </c>
      <c r="B135" s="2" t="s">
        <v>34</v>
      </c>
      <c r="C135" s="2" t="s">
        <v>13</v>
      </c>
      <c r="D135" s="2"/>
      <c r="E135" s="4"/>
      <c r="F135" s="5"/>
      <c r="G135" s="6"/>
      <c r="H135" s="15"/>
      <c r="I135" s="16"/>
      <c r="J135" s="13"/>
      <c r="K135" s="14"/>
      <c r="O135" s="25"/>
      <c r="Z135" s="14">
        <f t="shared" si="6"/>
        <v>0</v>
      </c>
      <c r="AA135" s="14">
        <f t="shared" si="7"/>
        <v>0</v>
      </c>
      <c r="AD135" s="14">
        <f t="shared" si="8"/>
        <v>0</v>
      </c>
    </row>
    <row r="136" spans="1:30" x14ac:dyDescent="0.25">
      <c r="A136" s="2">
        <v>23</v>
      </c>
      <c r="B136" s="2" t="s">
        <v>34</v>
      </c>
      <c r="C136" s="2" t="s">
        <v>13</v>
      </c>
      <c r="D136" s="2"/>
      <c r="E136" s="5"/>
      <c r="F136" s="3"/>
      <c r="G136" s="6"/>
      <c r="H136" s="16"/>
      <c r="I136" s="12"/>
      <c r="J136" s="13"/>
      <c r="K136" s="14"/>
      <c r="O136" s="25"/>
      <c r="Z136" s="14">
        <f t="shared" si="6"/>
        <v>0</v>
      </c>
      <c r="AA136" s="14">
        <f t="shared" si="7"/>
        <v>0</v>
      </c>
      <c r="AD136" s="14">
        <f t="shared" si="8"/>
        <v>0</v>
      </c>
    </row>
    <row r="137" spans="1:30" x14ac:dyDescent="0.25">
      <c r="A137" s="2">
        <v>23</v>
      </c>
      <c r="B137" s="2" t="s">
        <v>34</v>
      </c>
      <c r="C137" s="2" t="s">
        <v>13</v>
      </c>
      <c r="D137" s="2"/>
      <c r="E137" s="3"/>
      <c r="F137" s="5"/>
      <c r="G137" s="6"/>
      <c r="H137" s="12"/>
      <c r="I137" s="16"/>
      <c r="J137" s="13"/>
      <c r="K137" s="14"/>
      <c r="O137" s="25"/>
      <c r="Z137" s="14">
        <f t="shared" si="6"/>
        <v>0</v>
      </c>
      <c r="AA137" s="14">
        <f t="shared" si="7"/>
        <v>0</v>
      </c>
      <c r="AD137" s="14">
        <f t="shared" si="8"/>
        <v>0</v>
      </c>
    </row>
    <row r="138" spans="1:30" x14ac:dyDescent="0.25">
      <c r="A138" s="2">
        <v>23</v>
      </c>
      <c r="B138" s="2" t="s">
        <v>34</v>
      </c>
      <c r="C138" s="2" t="s">
        <v>13</v>
      </c>
      <c r="D138" s="2"/>
      <c r="E138" s="4"/>
      <c r="F138" s="3"/>
      <c r="G138" s="6"/>
      <c r="H138" s="15"/>
      <c r="I138" s="12"/>
      <c r="J138" s="13"/>
      <c r="K138" s="14"/>
      <c r="O138" s="25"/>
      <c r="Z138" s="14">
        <f t="shared" si="6"/>
        <v>0</v>
      </c>
      <c r="AA138" s="14">
        <f t="shared" si="7"/>
        <v>0</v>
      </c>
      <c r="AD138" s="14">
        <f t="shared" si="8"/>
        <v>0</v>
      </c>
    </row>
    <row r="139" spans="1:30" x14ac:dyDescent="0.25">
      <c r="A139" s="2">
        <v>23</v>
      </c>
      <c r="B139" s="2" t="s">
        <v>34</v>
      </c>
      <c r="C139" s="2" t="s">
        <v>13</v>
      </c>
      <c r="D139" s="2"/>
      <c r="E139" s="5"/>
      <c r="F139" s="5"/>
      <c r="G139" s="6"/>
      <c r="H139" s="16"/>
      <c r="I139" s="16"/>
      <c r="J139" s="13"/>
      <c r="K139" s="14"/>
      <c r="O139" s="25"/>
      <c r="Z139" s="14">
        <f t="shared" si="6"/>
        <v>0</v>
      </c>
      <c r="AA139" s="14">
        <f t="shared" si="7"/>
        <v>0</v>
      </c>
      <c r="AD139" s="14">
        <f t="shared" si="8"/>
        <v>0</v>
      </c>
    </row>
    <row r="140" spans="1:30" x14ac:dyDescent="0.25">
      <c r="A140">
        <v>24</v>
      </c>
      <c r="B140" t="s">
        <v>35</v>
      </c>
      <c r="C140" t="s">
        <v>15</v>
      </c>
      <c r="E140" s="7"/>
      <c r="F140" s="7"/>
      <c r="G140" s="8"/>
      <c r="H140" s="17"/>
      <c r="I140" s="17"/>
      <c r="J140" s="18"/>
      <c r="K140" s="19"/>
      <c r="O140" s="25"/>
      <c r="Z140" s="14">
        <f t="shared" si="6"/>
        <v>0</v>
      </c>
      <c r="AA140" s="14">
        <f t="shared" si="7"/>
        <v>0</v>
      </c>
      <c r="AD140" s="14">
        <f t="shared" si="8"/>
        <v>0</v>
      </c>
    </row>
    <row r="141" spans="1:30" x14ac:dyDescent="0.25">
      <c r="A141">
        <v>24</v>
      </c>
      <c r="B141" t="s">
        <v>35</v>
      </c>
      <c r="C141" t="s">
        <v>15</v>
      </c>
      <c r="E141" s="9"/>
      <c r="F141" s="10"/>
      <c r="G141" s="8"/>
      <c r="H141" s="20"/>
      <c r="I141" s="21"/>
      <c r="J141" s="18"/>
      <c r="K141" s="19"/>
      <c r="O141" s="25"/>
      <c r="Z141" s="14">
        <f t="shared" si="6"/>
        <v>0</v>
      </c>
      <c r="AA141" s="14">
        <f t="shared" si="7"/>
        <v>0</v>
      </c>
      <c r="AD141" s="14">
        <f t="shared" si="8"/>
        <v>0</v>
      </c>
    </row>
    <row r="142" spans="1:30" x14ac:dyDescent="0.25">
      <c r="A142">
        <v>24</v>
      </c>
      <c r="B142" t="s">
        <v>35</v>
      </c>
      <c r="C142" t="s">
        <v>15</v>
      </c>
      <c r="E142" s="10"/>
      <c r="F142" s="7"/>
      <c r="G142" s="8"/>
      <c r="H142" s="21"/>
      <c r="I142" s="17"/>
      <c r="J142" s="18"/>
      <c r="K142" s="19"/>
      <c r="O142" s="25"/>
      <c r="Z142" s="14">
        <f t="shared" si="6"/>
        <v>0</v>
      </c>
      <c r="AA142" s="14">
        <f t="shared" si="7"/>
        <v>0</v>
      </c>
      <c r="AD142" s="14">
        <f t="shared" si="8"/>
        <v>0</v>
      </c>
    </row>
    <row r="143" spans="1:30" x14ac:dyDescent="0.25">
      <c r="A143">
        <v>24</v>
      </c>
      <c r="B143" t="s">
        <v>35</v>
      </c>
      <c r="C143" t="s">
        <v>15</v>
      </c>
      <c r="E143" s="7"/>
      <c r="F143" s="10"/>
      <c r="G143" s="8"/>
      <c r="H143" s="17"/>
      <c r="I143" s="21"/>
      <c r="J143" s="18"/>
      <c r="K143" s="19"/>
      <c r="O143" s="25"/>
      <c r="Z143" s="14">
        <f t="shared" si="6"/>
        <v>0</v>
      </c>
      <c r="AA143" s="14">
        <f t="shared" si="7"/>
        <v>0</v>
      </c>
      <c r="AD143" s="14">
        <f t="shared" si="8"/>
        <v>0</v>
      </c>
    </row>
    <row r="144" spans="1:30" x14ac:dyDescent="0.25">
      <c r="A144">
        <v>24</v>
      </c>
      <c r="B144" t="s">
        <v>35</v>
      </c>
      <c r="C144" t="s">
        <v>15</v>
      </c>
      <c r="E144" s="9"/>
      <c r="F144" s="7"/>
      <c r="G144" s="8"/>
      <c r="H144" s="20"/>
      <c r="I144" s="17"/>
      <c r="J144" s="18"/>
      <c r="K144" s="19"/>
      <c r="O144" s="25"/>
      <c r="Z144" s="14">
        <f t="shared" si="6"/>
        <v>0</v>
      </c>
      <c r="AA144" s="14">
        <f t="shared" si="7"/>
        <v>0</v>
      </c>
      <c r="AD144" s="14">
        <f t="shared" si="8"/>
        <v>0</v>
      </c>
    </row>
    <row r="145" spans="1:30" x14ac:dyDescent="0.25">
      <c r="A145">
        <v>24</v>
      </c>
      <c r="B145" t="s">
        <v>35</v>
      </c>
      <c r="C145" t="s">
        <v>15</v>
      </c>
      <c r="E145" s="10"/>
      <c r="F145" s="10"/>
      <c r="G145" s="8"/>
      <c r="H145" s="21"/>
      <c r="I145" s="21"/>
      <c r="J145" s="18"/>
      <c r="K145" s="19"/>
      <c r="O145" s="25"/>
      <c r="Z145" s="14">
        <f t="shared" si="6"/>
        <v>0</v>
      </c>
      <c r="AA145" s="14">
        <f t="shared" si="7"/>
        <v>0</v>
      </c>
      <c r="AD145" s="14">
        <f t="shared" si="8"/>
        <v>0</v>
      </c>
    </row>
    <row r="146" spans="1:30" x14ac:dyDescent="0.25">
      <c r="A146" s="2">
        <v>25</v>
      </c>
      <c r="B146" s="2" t="s">
        <v>36</v>
      </c>
      <c r="C146" s="2" t="s">
        <v>13</v>
      </c>
      <c r="D146" s="2"/>
      <c r="E146" s="3"/>
      <c r="F146" s="3"/>
      <c r="G146" s="6"/>
      <c r="H146" s="12"/>
      <c r="I146" s="12"/>
      <c r="J146" s="13"/>
      <c r="K146" s="14"/>
      <c r="O146" s="25"/>
      <c r="Z146" s="14">
        <f t="shared" si="6"/>
        <v>0</v>
      </c>
      <c r="AA146" s="14">
        <f t="shared" si="7"/>
        <v>0</v>
      </c>
      <c r="AD146" s="14">
        <f t="shared" si="8"/>
        <v>0</v>
      </c>
    </row>
    <row r="147" spans="1:30" x14ac:dyDescent="0.25">
      <c r="A147" s="2">
        <v>25</v>
      </c>
      <c r="B147" s="2" t="s">
        <v>36</v>
      </c>
      <c r="C147" s="2" t="s">
        <v>13</v>
      </c>
      <c r="D147" s="2"/>
      <c r="E147" s="4"/>
      <c r="F147" s="5"/>
      <c r="G147" s="6"/>
      <c r="H147" s="15"/>
      <c r="I147" s="16"/>
      <c r="J147" s="13"/>
      <c r="K147" s="14"/>
      <c r="O147" s="25"/>
      <c r="Z147" s="14">
        <f t="shared" si="6"/>
        <v>0</v>
      </c>
      <c r="AA147" s="14">
        <f t="shared" si="7"/>
        <v>0</v>
      </c>
      <c r="AD147" s="14">
        <f t="shared" si="8"/>
        <v>0</v>
      </c>
    </row>
    <row r="148" spans="1:30" x14ac:dyDescent="0.25">
      <c r="A148" s="2">
        <v>25</v>
      </c>
      <c r="B148" s="2" t="s">
        <v>36</v>
      </c>
      <c r="C148" s="2" t="s">
        <v>13</v>
      </c>
      <c r="D148" s="2"/>
      <c r="E148" s="5"/>
      <c r="F148" s="3"/>
      <c r="G148" s="6"/>
      <c r="H148" s="16"/>
      <c r="I148" s="12"/>
      <c r="J148" s="13"/>
      <c r="K148" s="14"/>
      <c r="O148" s="25"/>
      <c r="Z148" s="14">
        <f t="shared" si="6"/>
        <v>0</v>
      </c>
      <c r="AA148" s="14">
        <f t="shared" si="7"/>
        <v>0</v>
      </c>
      <c r="AD148" s="14">
        <f t="shared" si="8"/>
        <v>0</v>
      </c>
    </row>
    <row r="149" spans="1:30" x14ac:dyDescent="0.25">
      <c r="A149" s="2">
        <v>25</v>
      </c>
      <c r="B149" s="2" t="s">
        <v>36</v>
      </c>
      <c r="C149" s="2" t="s">
        <v>13</v>
      </c>
      <c r="D149" s="2"/>
      <c r="E149" s="3"/>
      <c r="F149" s="5"/>
      <c r="G149" s="6"/>
      <c r="H149" s="12"/>
      <c r="I149" s="16"/>
      <c r="J149" s="13"/>
      <c r="K149" s="14"/>
      <c r="O149" s="25"/>
      <c r="Z149" s="14">
        <f t="shared" si="6"/>
        <v>0</v>
      </c>
      <c r="AA149" s="14">
        <f t="shared" si="7"/>
        <v>0</v>
      </c>
      <c r="AD149" s="14">
        <f t="shared" si="8"/>
        <v>0</v>
      </c>
    </row>
    <row r="150" spans="1:30" x14ac:dyDescent="0.25">
      <c r="A150" s="2">
        <v>25</v>
      </c>
      <c r="B150" s="2" t="s">
        <v>36</v>
      </c>
      <c r="C150" s="2" t="s">
        <v>13</v>
      </c>
      <c r="D150" s="2"/>
      <c r="E150" s="4"/>
      <c r="F150" s="3"/>
      <c r="G150" s="6"/>
      <c r="H150" s="15"/>
      <c r="I150" s="12"/>
      <c r="J150" s="13"/>
      <c r="K150" s="14"/>
      <c r="O150" s="25"/>
      <c r="Z150" s="14">
        <f t="shared" si="6"/>
        <v>0</v>
      </c>
      <c r="AA150" s="14">
        <f t="shared" si="7"/>
        <v>0</v>
      </c>
      <c r="AD150" s="14">
        <f t="shared" si="8"/>
        <v>0</v>
      </c>
    </row>
    <row r="151" spans="1:30" x14ac:dyDescent="0.25">
      <c r="A151" s="2">
        <v>25</v>
      </c>
      <c r="B151" s="2" t="s">
        <v>36</v>
      </c>
      <c r="C151" s="2" t="s">
        <v>13</v>
      </c>
      <c r="D151" s="2"/>
      <c r="E151" s="5"/>
      <c r="F151" s="5"/>
      <c r="G151" s="6"/>
      <c r="H151" s="16"/>
      <c r="I151" s="16"/>
      <c r="J151" s="13"/>
      <c r="K151" s="14"/>
      <c r="O151" s="25"/>
      <c r="Z151" s="14">
        <f t="shared" si="6"/>
        <v>0</v>
      </c>
      <c r="AA151" s="14">
        <f t="shared" si="7"/>
        <v>0</v>
      </c>
      <c r="AD151" s="14">
        <f t="shared" si="8"/>
        <v>0</v>
      </c>
    </row>
    <row r="152" spans="1:30" x14ac:dyDescent="0.25">
      <c r="A152">
        <v>26</v>
      </c>
      <c r="B152" t="s">
        <v>37</v>
      </c>
      <c r="C152" t="s">
        <v>15</v>
      </c>
      <c r="E152" s="7"/>
      <c r="F152" s="7"/>
      <c r="G152" s="8"/>
      <c r="H152" s="17"/>
      <c r="I152" s="17"/>
      <c r="J152" s="18"/>
      <c r="K152" s="19"/>
      <c r="O152" s="25"/>
      <c r="Z152" s="14">
        <f t="shared" si="6"/>
        <v>0</v>
      </c>
      <c r="AA152" s="14">
        <f t="shared" si="7"/>
        <v>0</v>
      </c>
      <c r="AD152" s="14">
        <f t="shared" si="8"/>
        <v>0</v>
      </c>
    </row>
    <row r="153" spans="1:30" x14ac:dyDescent="0.25">
      <c r="A153">
        <v>26</v>
      </c>
      <c r="B153" t="s">
        <v>37</v>
      </c>
      <c r="C153" t="s">
        <v>15</v>
      </c>
      <c r="E153" s="9"/>
      <c r="F153" s="10"/>
      <c r="G153" s="8"/>
      <c r="H153" s="20"/>
      <c r="I153" s="21"/>
      <c r="J153" s="18"/>
      <c r="K153" s="19"/>
      <c r="O153" s="25"/>
      <c r="Z153" s="14">
        <f t="shared" si="6"/>
        <v>0</v>
      </c>
      <c r="AA153" s="14">
        <f t="shared" si="7"/>
        <v>0</v>
      </c>
      <c r="AD153" s="14">
        <f t="shared" si="8"/>
        <v>0</v>
      </c>
    </row>
    <row r="154" spans="1:30" x14ac:dyDescent="0.25">
      <c r="A154">
        <v>26</v>
      </c>
      <c r="B154" t="s">
        <v>37</v>
      </c>
      <c r="C154" t="s">
        <v>15</v>
      </c>
      <c r="E154" s="10"/>
      <c r="F154" s="7"/>
      <c r="G154" s="8"/>
      <c r="H154" s="21"/>
      <c r="I154" s="17"/>
      <c r="J154" s="18"/>
      <c r="K154" s="19"/>
      <c r="O154" s="25"/>
      <c r="Z154" s="14">
        <f t="shared" si="6"/>
        <v>0</v>
      </c>
      <c r="AA154" s="14">
        <f t="shared" si="7"/>
        <v>0</v>
      </c>
      <c r="AD154" s="14">
        <f t="shared" si="8"/>
        <v>0</v>
      </c>
    </row>
    <row r="155" spans="1:30" x14ac:dyDescent="0.25">
      <c r="A155">
        <v>26</v>
      </c>
      <c r="B155" t="s">
        <v>37</v>
      </c>
      <c r="C155" t="s">
        <v>15</v>
      </c>
      <c r="E155" s="7"/>
      <c r="F155" s="10"/>
      <c r="G155" s="8"/>
      <c r="H155" s="17"/>
      <c r="I155" s="21"/>
      <c r="J155" s="18"/>
      <c r="K155" s="19"/>
      <c r="O155" s="25"/>
      <c r="Z155" s="14">
        <f t="shared" si="6"/>
        <v>0</v>
      </c>
      <c r="AA155" s="14">
        <f t="shared" si="7"/>
        <v>0</v>
      </c>
      <c r="AD155" s="14">
        <f t="shared" si="8"/>
        <v>0</v>
      </c>
    </row>
    <row r="156" spans="1:30" x14ac:dyDescent="0.25">
      <c r="A156">
        <v>26</v>
      </c>
      <c r="B156" t="s">
        <v>37</v>
      </c>
      <c r="C156" t="s">
        <v>15</v>
      </c>
      <c r="E156" s="9"/>
      <c r="F156" s="7"/>
      <c r="G156" s="8"/>
      <c r="H156" s="20"/>
      <c r="I156" s="17"/>
      <c r="J156" s="18"/>
      <c r="K156" s="19"/>
      <c r="O156" s="25"/>
      <c r="Z156" s="14">
        <f t="shared" si="6"/>
        <v>0</v>
      </c>
      <c r="AA156" s="14">
        <f t="shared" si="7"/>
        <v>0</v>
      </c>
      <c r="AD156" s="14">
        <f t="shared" si="8"/>
        <v>0</v>
      </c>
    </row>
    <row r="157" spans="1:30" x14ac:dyDescent="0.25">
      <c r="A157">
        <v>26</v>
      </c>
      <c r="B157" t="s">
        <v>37</v>
      </c>
      <c r="C157" t="s">
        <v>15</v>
      </c>
      <c r="E157" s="10"/>
      <c r="F157" s="10"/>
      <c r="G157" s="8"/>
      <c r="H157" s="21"/>
      <c r="I157" s="21"/>
      <c r="J157" s="18"/>
      <c r="K157" s="19"/>
      <c r="O157" s="25"/>
      <c r="Z157" s="14">
        <f t="shared" si="6"/>
        <v>0</v>
      </c>
      <c r="AA157" s="14">
        <f t="shared" si="7"/>
        <v>0</v>
      </c>
      <c r="AD157" s="14">
        <f t="shared" si="8"/>
        <v>0</v>
      </c>
    </row>
  </sheetData>
  <conditionalFormatting sqref="L2:O157">
    <cfRule type="cellIs" dxfId="1" priority="1" operator="greaterThan">
      <formula>99</formula>
    </cfRule>
  </conditionalFormatting>
  <conditionalFormatting sqref="P1:Y157">
    <cfRule type="cellIs" dxfId="0" priority="3" operator="equal">
      <formula>180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3FDA-C20D-4559-A735-1A6336F23C99}">
  <dimension ref="A1:G182"/>
  <sheetViews>
    <sheetView workbookViewId="0">
      <selection activeCell="M28" sqref="M28"/>
    </sheetView>
  </sheetViews>
  <sheetFormatPr defaultRowHeight="15" x14ac:dyDescent="0.25"/>
  <cols>
    <col min="2" max="2" width="16.85546875" customWidth="1"/>
    <col min="4" max="4" width="10.7109375" customWidth="1"/>
    <col min="5" max="5" width="7.85546875" customWidth="1"/>
    <col min="6" max="7" width="12.140625" customWidth="1"/>
    <col min="8" max="8" width="12.42578125" customWidth="1"/>
  </cols>
  <sheetData>
    <row r="1" spans="1:7" x14ac:dyDescent="0.25">
      <c r="A1" s="11" t="s">
        <v>28</v>
      </c>
      <c r="B1" s="11" t="s">
        <v>27</v>
      </c>
      <c r="C1" s="11" t="s">
        <v>0</v>
      </c>
      <c r="D1" s="11" t="s">
        <v>1</v>
      </c>
      <c r="E1" s="11" t="s">
        <v>50</v>
      </c>
      <c r="F1" s="1" t="s">
        <v>73</v>
      </c>
      <c r="G1" s="1"/>
    </row>
    <row r="2" spans="1:7" x14ac:dyDescent="0.25">
      <c r="A2" s="2">
        <v>1</v>
      </c>
      <c r="B2" s="2" t="s">
        <v>12</v>
      </c>
      <c r="C2" s="2" t="s">
        <v>13</v>
      </c>
      <c r="D2" s="2" t="s">
        <v>19</v>
      </c>
      <c r="E2" s="2">
        <v>3.5</v>
      </c>
      <c r="F2" t="s">
        <v>19</v>
      </c>
    </row>
    <row r="3" spans="1:7" x14ac:dyDescent="0.25">
      <c r="A3" s="2">
        <v>1</v>
      </c>
      <c r="B3" s="2" t="s">
        <v>12</v>
      </c>
      <c r="C3" s="2" t="s">
        <v>13</v>
      </c>
      <c r="D3" s="2" t="s">
        <v>22</v>
      </c>
      <c r="E3" s="2">
        <v>2.7</v>
      </c>
    </row>
    <row r="4" spans="1:7" x14ac:dyDescent="0.25">
      <c r="A4" s="2">
        <v>1</v>
      </c>
      <c r="B4" s="2" t="s">
        <v>12</v>
      </c>
      <c r="C4" s="2" t="s">
        <v>13</v>
      </c>
      <c r="D4" s="2" t="s">
        <v>21</v>
      </c>
      <c r="E4" s="2">
        <v>1.4</v>
      </c>
    </row>
    <row r="5" spans="1:7" x14ac:dyDescent="0.25">
      <c r="A5" s="2">
        <v>1</v>
      </c>
      <c r="B5" s="2" t="s">
        <v>12</v>
      </c>
      <c r="C5" s="2" t="s">
        <v>13</v>
      </c>
      <c r="D5" s="2" t="s">
        <v>20</v>
      </c>
      <c r="E5" s="2">
        <v>1.2</v>
      </c>
    </row>
    <row r="6" spans="1:7" x14ac:dyDescent="0.25">
      <c r="A6" s="2">
        <v>1</v>
      </c>
      <c r="B6" s="2" t="s">
        <v>12</v>
      </c>
      <c r="C6" s="2" t="s">
        <v>13</v>
      </c>
      <c r="D6" s="2" t="s">
        <v>23</v>
      </c>
      <c r="E6" s="2">
        <v>0.6</v>
      </c>
    </row>
    <row r="7" spans="1:7" x14ac:dyDescent="0.25">
      <c r="A7" s="2">
        <v>1</v>
      </c>
      <c r="B7" s="2" t="s">
        <v>12</v>
      </c>
      <c r="C7" s="2" t="s">
        <v>13</v>
      </c>
      <c r="D7" s="2" t="s">
        <v>18</v>
      </c>
      <c r="E7" s="2">
        <v>0.5</v>
      </c>
    </row>
    <row r="8" spans="1:7" x14ac:dyDescent="0.25">
      <c r="A8" s="11" t="s">
        <v>28</v>
      </c>
      <c r="B8" s="11" t="s">
        <v>27</v>
      </c>
      <c r="C8" s="11" t="s">
        <v>0</v>
      </c>
      <c r="D8" s="11" t="s">
        <v>1</v>
      </c>
      <c r="E8" s="11" t="s">
        <v>50</v>
      </c>
    </row>
    <row r="9" spans="1:7" x14ac:dyDescent="0.25">
      <c r="A9">
        <v>2</v>
      </c>
      <c r="B9" t="s">
        <v>14</v>
      </c>
      <c r="C9" t="s">
        <v>15</v>
      </c>
      <c r="D9" t="s">
        <v>21</v>
      </c>
      <c r="E9">
        <v>4.43</v>
      </c>
      <c r="F9" t="s">
        <v>21</v>
      </c>
    </row>
    <row r="10" spans="1:7" x14ac:dyDescent="0.25">
      <c r="A10">
        <v>2</v>
      </c>
      <c r="B10" t="s">
        <v>14</v>
      </c>
      <c r="C10" t="s">
        <v>15</v>
      </c>
      <c r="D10" t="s">
        <v>20</v>
      </c>
      <c r="E10">
        <v>3.73</v>
      </c>
    </row>
    <row r="11" spans="1:7" x14ac:dyDescent="0.25">
      <c r="A11">
        <v>2</v>
      </c>
      <c r="B11" t="s">
        <v>14</v>
      </c>
      <c r="C11" t="s">
        <v>15</v>
      </c>
      <c r="D11" t="s">
        <v>25</v>
      </c>
      <c r="E11">
        <v>2.23</v>
      </c>
    </row>
    <row r="12" spans="1:7" x14ac:dyDescent="0.25">
      <c r="A12">
        <v>2</v>
      </c>
      <c r="B12" t="s">
        <v>14</v>
      </c>
      <c r="C12" t="s">
        <v>15</v>
      </c>
      <c r="D12" t="s">
        <v>23</v>
      </c>
      <c r="E12">
        <v>0.30000000000000004</v>
      </c>
    </row>
    <row r="13" spans="1:7" x14ac:dyDescent="0.25">
      <c r="A13">
        <v>2</v>
      </c>
      <c r="B13" t="s">
        <v>14</v>
      </c>
      <c r="C13" t="s">
        <v>15</v>
      </c>
      <c r="D13" t="s">
        <v>19</v>
      </c>
      <c r="E13">
        <v>0.1</v>
      </c>
    </row>
    <row r="14" spans="1:7" x14ac:dyDescent="0.25">
      <c r="A14">
        <v>2</v>
      </c>
      <c r="B14" t="s">
        <v>14</v>
      </c>
      <c r="C14" t="s">
        <v>15</v>
      </c>
      <c r="D14" t="s">
        <v>24</v>
      </c>
      <c r="E14">
        <v>0</v>
      </c>
    </row>
    <row r="15" spans="1:7" x14ac:dyDescent="0.25">
      <c r="A15" s="11" t="s">
        <v>28</v>
      </c>
      <c r="B15" s="11" t="s">
        <v>27</v>
      </c>
      <c r="C15" s="11" t="s">
        <v>0</v>
      </c>
      <c r="D15" s="11" t="s">
        <v>1</v>
      </c>
      <c r="E15" s="11" t="s">
        <v>50</v>
      </c>
    </row>
    <row r="16" spans="1:7" x14ac:dyDescent="0.25">
      <c r="A16" s="2">
        <v>3</v>
      </c>
      <c r="B16" s="2" t="s">
        <v>16</v>
      </c>
      <c r="C16" s="2" t="s">
        <v>13</v>
      </c>
      <c r="D16" s="2" t="s">
        <v>20</v>
      </c>
      <c r="E16" s="2">
        <v>3.3</v>
      </c>
      <c r="F16" t="s">
        <v>20</v>
      </c>
    </row>
    <row r="17" spans="1:6" x14ac:dyDescent="0.25">
      <c r="A17" s="2">
        <v>3</v>
      </c>
      <c r="B17" s="2" t="s">
        <v>16</v>
      </c>
      <c r="C17" s="2" t="s">
        <v>13</v>
      </c>
      <c r="D17" s="2" t="s">
        <v>21</v>
      </c>
      <c r="E17" s="2">
        <v>2.73</v>
      </c>
    </row>
    <row r="18" spans="1:6" x14ac:dyDescent="0.25">
      <c r="A18" s="2">
        <v>3</v>
      </c>
      <c r="B18" s="2" t="s">
        <v>16</v>
      </c>
      <c r="C18" s="2" t="s">
        <v>13</v>
      </c>
      <c r="D18" s="2" t="s">
        <v>26</v>
      </c>
      <c r="E18" s="2">
        <v>1.6300000000000001</v>
      </c>
    </row>
    <row r="19" spans="1:6" x14ac:dyDescent="0.25">
      <c r="A19" s="2">
        <v>3</v>
      </c>
      <c r="B19" s="2" t="s">
        <v>16</v>
      </c>
      <c r="C19" s="2" t="s">
        <v>13</v>
      </c>
      <c r="D19" s="2" t="s">
        <v>23</v>
      </c>
      <c r="E19" s="2">
        <v>1.53</v>
      </c>
    </row>
    <row r="20" spans="1:6" x14ac:dyDescent="0.25">
      <c r="A20" s="2">
        <v>3</v>
      </c>
      <c r="B20" s="2" t="s">
        <v>16</v>
      </c>
      <c r="C20" s="2" t="s">
        <v>13</v>
      </c>
      <c r="D20" s="2" t="s">
        <v>22</v>
      </c>
      <c r="E20" s="2">
        <v>1.3</v>
      </c>
    </row>
    <row r="21" spans="1:6" x14ac:dyDescent="0.25">
      <c r="A21" s="2">
        <v>3</v>
      </c>
      <c r="B21" s="2" t="s">
        <v>16</v>
      </c>
      <c r="C21" s="2" t="s">
        <v>13</v>
      </c>
      <c r="D21" s="2" t="s">
        <v>24</v>
      </c>
      <c r="E21" s="2">
        <v>0.1</v>
      </c>
    </row>
    <row r="22" spans="1:6" x14ac:dyDescent="0.25">
      <c r="A22" s="11" t="s">
        <v>28</v>
      </c>
      <c r="B22" s="11" t="s">
        <v>27</v>
      </c>
      <c r="C22" s="11" t="s">
        <v>0</v>
      </c>
      <c r="D22" s="11" t="s">
        <v>1</v>
      </c>
      <c r="E22" s="11" t="s">
        <v>50</v>
      </c>
    </row>
    <row r="23" spans="1:6" x14ac:dyDescent="0.25">
      <c r="A23">
        <v>4</v>
      </c>
      <c r="B23" t="s">
        <v>17</v>
      </c>
      <c r="C23" t="s">
        <v>15</v>
      </c>
      <c r="D23" t="s">
        <v>20</v>
      </c>
      <c r="E23">
        <v>3.73</v>
      </c>
      <c r="F23" t="s">
        <v>20</v>
      </c>
    </row>
    <row r="24" spans="1:6" x14ac:dyDescent="0.25">
      <c r="A24">
        <v>4</v>
      </c>
      <c r="B24" t="s">
        <v>17</v>
      </c>
      <c r="C24" t="s">
        <v>15</v>
      </c>
      <c r="D24" t="s">
        <v>21</v>
      </c>
      <c r="E24">
        <v>3.7</v>
      </c>
    </row>
    <row r="25" spans="1:6" x14ac:dyDescent="0.25">
      <c r="A25">
        <v>4</v>
      </c>
      <c r="B25" t="s">
        <v>17</v>
      </c>
      <c r="C25" t="s">
        <v>15</v>
      </c>
      <c r="D25" t="s">
        <v>22</v>
      </c>
      <c r="E25">
        <v>3.3</v>
      </c>
    </row>
    <row r="26" spans="1:6" x14ac:dyDescent="0.25">
      <c r="A26">
        <v>4</v>
      </c>
      <c r="B26" t="s">
        <v>17</v>
      </c>
      <c r="C26" t="s">
        <v>15</v>
      </c>
      <c r="D26" t="s">
        <v>23</v>
      </c>
      <c r="E26">
        <v>2.4300000000000002</v>
      </c>
    </row>
    <row r="27" spans="1:6" x14ac:dyDescent="0.25">
      <c r="A27">
        <v>4</v>
      </c>
      <c r="B27" t="s">
        <v>17</v>
      </c>
      <c r="C27" t="s">
        <v>15</v>
      </c>
      <c r="D27" t="s">
        <v>18</v>
      </c>
      <c r="E27">
        <v>0.93</v>
      </c>
    </row>
    <row r="28" spans="1:6" x14ac:dyDescent="0.25">
      <c r="A28">
        <v>4</v>
      </c>
      <c r="B28" t="s">
        <v>17</v>
      </c>
      <c r="C28" t="s">
        <v>15</v>
      </c>
      <c r="D28" t="s">
        <v>26</v>
      </c>
      <c r="E28">
        <v>0.1</v>
      </c>
    </row>
    <row r="29" spans="1:6" x14ac:dyDescent="0.25">
      <c r="A29" s="11" t="s">
        <v>28</v>
      </c>
      <c r="B29" s="11" t="s">
        <v>27</v>
      </c>
      <c r="C29" s="11" t="s">
        <v>0</v>
      </c>
      <c r="D29" s="11" t="s">
        <v>1</v>
      </c>
      <c r="E29" s="11" t="s">
        <v>50</v>
      </c>
    </row>
    <row r="30" spans="1:6" x14ac:dyDescent="0.25">
      <c r="A30" s="2">
        <v>5</v>
      </c>
      <c r="B30" s="2" t="s">
        <v>29</v>
      </c>
      <c r="C30" s="2"/>
      <c r="D30" s="2"/>
      <c r="E30" s="2"/>
    </row>
    <row r="31" spans="1:6" x14ac:dyDescent="0.25">
      <c r="A31" s="2">
        <v>5</v>
      </c>
      <c r="B31" s="2" t="s">
        <v>29</v>
      </c>
      <c r="C31" s="2"/>
      <c r="D31" s="2"/>
      <c r="E31" s="2"/>
    </row>
    <row r="32" spans="1:6" x14ac:dyDescent="0.25">
      <c r="A32" s="2">
        <v>5</v>
      </c>
      <c r="B32" s="2" t="s">
        <v>29</v>
      </c>
      <c r="C32" s="2"/>
      <c r="D32" s="2"/>
      <c r="E32" s="2"/>
    </row>
    <row r="33" spans="1:5" x14ac:dyDescent="0.25">
      <c r="A33" s="2">
        <v>5</v>
      </c>
      <c r="B33" s="2" t="s">
        <v>29</v>
      </c>
      <c r="C33" s="2"/>
      <c r="D33" s="2"/>
      <c r="E33" s="2"/>
    </row>
    <row r="34" spans="1:5" x14ac:dyDescent="0.25">
      <c r="A34" s="2">
        <v>5</v>
      </c>
      <c r="B34" s="2" t="s">
        <v>29</v>
      </c>
      <c r="C34" s="2"/>
      <c r="D34" s="2"/>
      <c r="E34" s="2"/>
    </row>
    <row r="35" spans="1:5" x14ac:dyDescent="0.25">
      <c r="A35" s="2">
        <v>5</v>
      </c>
      <c r="B35" s="2" t="s">
        <v>29</v>
      </c>
      <c r="C35" s="2"/>
      <c r="D35" s="2"/>
      <c r="E35" s="2"/>
    </row>
    <row r="36" spans="1:5" x14ac:dyDescent="0.25">
      <c r="A36" s="11" t="s">
        <v>28</v>
      </c>
      <c r="B36" s="11" t="s">
        <v>27</v>
      </c>
      <c r="C36" s="11" t="s">
        <v>0</v>
      </c>
      <c r="D36" s="11" t="s">
        <v>1</v>
      </c>
      <c r="E36" s="11" t="s">
        <v>50</v>
      </c>
    </row>
    <row r="37" spans="1:5" x14ac:dyDescent="0.25">
      <c r="A37">
        <v>6</v>
      </c>
      <c r="B37" t="s">
        <v>30</v>
      </c>
      <c r="C37" t="s">
        <v>13</v>
      </c>
    </row>
    <row r="38" spans="1:5" x14ac:dyDescent="0.25">
      <c r="A38">
        <v>6</v>
      </c>
      <c r="B38" t="s">
        <v>30</v>
      </c>
      <c r="C38" t="s">
        <v>13</v>
      </c>
    </row>
    <row r="39" spans="1:5" x14ac:dyDescent="0.25">
      <c r="A39">
        <v>6</v>
      </c>
      <c r="B39" t="s">
        <v>30</v>
      </c>
      <c r="C39" t="s">
        <v>13</v>
      </c>
    </row>
    <row r="40" spans="1:5" x14ac:dyDescent="0.25">
      <c r="A40">
        <v>6</v>
      </c>
      <c r="B40" t="s">
        <v>30</v>
      </c>
      <c r="C40" t="s">
        <v>13</v>
      </c>
    </row>
    <row r="41" spans="1:5" x14ac:dyDescent="0.25">
      <c r="A41">
        <v>6</v>
      </c>
      <c r="B41" t="s">
        <v>30</v>
      </c>
      <c r="C41" t="s">
        <v>13</v>
      </c>
    </row>
    <row r="42" spans="1:5" x14ac:dyDescent="0.25">
      <c r="A42">
        <v>6</v>
      </c>
      <c r="B42" t="s">
        <v>30</v>
      </c>
      <c r="C42" t="s">
        <v>13</v>
      </c>
    </row>
    <row r="43" spans="1:5" x14ac:dyDescent="0.25">
      <c r="A43" s="11" t="s">
        <v>28</v>
      </c>
      <c r="B43" s="11" t="s">
        <v>27</v>
      </c>
      <c r="C43" s="11" t="s">
        <v>0</v>
      </c>
      <c r="D43" s="11" t="s">
        <v>1</v>
      </c>
      <c r="E43" s="11" t="s">
        <v>50</v>
      </c>
    </row>
    <row r="44" spans="1:5" x14ac:dyDescent="0.25">
      <c r="A44" s="2">
        <v>7</v>
      </c>
      <c r="B44" s="2" t="s">
        <v>31</v>
      </c>
      <c r="C44" s="2" t="s">
        <v>15</v>
      </c>
      <c r="D44" s="2"/>
      <c r="E44" s="2"/>
    </row>
    <row r="45" spans="1:5" x14ac:dyDescent="0.25">
      <c r="A45" s="2">
        <v>7</v>
      </c>
      <c r="B45" s="2" t="s">
        <v>31</v>
      </c>
      <c r="C45" s="2" t="s">
        <v>15</v>
      </c>
      <c r="D45" s="2"/>
      <c r="E45" s="2"/>
    </row>
    <row r="46" spans="1:5" x14ac:dyDescent="0.25">
      <c r="A46" s="2">
        <v>7</v>
      </c>
      <c r="B46" s="2" t="s">
        <v>31</v>
      </c>
      <c r="C46" s="2" t="s">
        <v>15</v>
      </c>
      <c r="D46" s="2"/>
      <c r="E46" s="2"/>
    </row>
    <row r="47" spans="1:5" x14ac:dyDescent="0.25">
      <c r="A47" s="2">
        <v>7</v>
      </c>
      <c r="B47" s="2" t="s">
        <v>31</v>
      </c>
      <c r="C47" s="2" t="s">
        <v>15</v>
      </c>
      <c r="D47" s="2"/>
      <c r="E47" s="2"/>
    </row>
    <row r="48" spans="1:5" x14ac:dyDescent="0.25">
      <c r="A48" s="2">
        <v>7</v>
      </c>
      <c r="B48" s="2" t="s">
        <v>31</v>
      </c>
      <c r="C48" s="2" t="s">
        <v>15</v>
      </c>
      <c r="D48" s="2"/>
      <c r="E48" s="2"/>
    </row>
    <row r="49" spans="1:5" x14ac:dyDescent="0.25">
      <c r="A49" s="2">
        <v>7</v>
      </c>
      <c r="B49" s="2" t="s">
        <v>31</v>
      </c>
      <c r="C49" s="2" t="s">
        <v>15</v>
      </c>
      <c r="D49" s="2"/>
      <c r="E49" s="2"/>
    </row>
    <row r="50" spans="1:5" x14ac:dyDescent="0.25">
      <c r="A50" s="11" t="s">
        <v>28</v>
      </c>
      <c r="B50" s="11" t="s">
        <v>27</v>
      </c>
      <c r="C50" s="11" t="s">
        <v>0</v>
      </c>
      <c r="D50" s="11" t="s">
        <v>1</v>
      </c>
      <c r="E50" s="11" t="s">
        <v>50</v>
      </c>
    </row>
    <row r="51" spans="1:5" x14ac:dyDescent="0.25">
      <c r="A51">
        <v>8</v>
      </c>
      <c r="B51" t="s">
        <v>32</v>
      </c>
      <c r="C51" t="s">
        <v>15</v>
      </c>
    </row>
    <row r="52" spans="1:5" x14ac:dyDescent="0.25">
      <c r="A52">
        <v>8</v>
      </c>
      <c r="B52" t="s">
        <v>32</v>
      </c>
      <c r="C52" t="s">
        <v>15</v>
      </c>
    </row>
    <row r="53" spans="1:5" x14ac:dyDescent="0.25">
      <c r="A53">
        <v>8</v>
      </c>
      <c r="B53" t="s">
        <v>32</v>
      </c>
      <c r="C53" t="s">
        <v>15</v>
      </c>
    </row>
    <row r="54" spans="1:5" x14ac:dyDescent="0.25">
      <c r="A54">
        <v>8</v>
      </c>
      <c r="B54" t="s">
        <v>32</v>
      </c>
      <c r="C54" t="s">
        <v>15</v>
      </c>
    </row>
    <row r="55" spans="1:5" x14ac:dyDescent="0.25">
      <c r="A55">
        <v>8</v>
      </c>
      <c r="B55" t="s">
        <v>32</v>
      </c>
      <c r="C55" t="s">
        <v>15</v>
      </c>
    </row>
    <row r="56" spans="1:5" x14ac:dyDescent="0.25">
      <c r="A56">
        <v>8</v>
      </c>
      <c r="B56" t="s">
        <v>32</v>
      </c>
      <c r="C56" t="s">
        <v>15</v>
      </c>
    </row>
    <row r="57" spans="1:5" x14ac:dyDescent="0.25">
      <c r="A57" s="11" t="s">
        <v>28</v>
      </c>
      <c r="B57" s="11" t="s">
        <v>27</v>
      </c>
      <c r="C57" s="11" t="s">
        <v>0</v>
      </c>
      <c r="D57" s="11" t="s">
        <v>1</v>
      </c>
      <c r="E57" s="11" t="s">
        <v>50</v>
      </c>
    </row>
    <row r="58" spans="1:5" x14ac:dyDescent="0.25">
      <c r="A58" s="2">
        <v>9</v>
      </c>
      <c r="B58" s="2" t="s">
        <v>33</v>
      </c>
      <c r="C58" s="2" t="s">
        <v>13</v>
      </c>
      <c r="D58" s="2"/>
      <c r="E58" s="2"/>
    </row>
    <row r="59" spans="1:5" x14ac:dyDescent="0.25">
      <c r="A59" s="2">
        <v>9</v>
      </c>
      <c r="B59" s="2" t="s">
        <v>33</v>
      </c>
      <c r="C59" s="2" t="s">
        <v>13</v>
      </c>
      <c r="D59" s="2"/>
      <c r="E59" s="2"/>
    </row>
    <row r="60" spans="1:5" x14ac:dyDescent="0.25">
      <c r="A60" s="2">
        <v>9</v>
      </c>
      <c r="B60" s="2" t="s">
        <v>33</v>
      </c>
      <c r="C60" s="2" t="s">
        <v>13</v>
      </c>
      <c r="D60" s="2"/>
      <c r="E60" s="2"/>
    </row>
    <row r="61" spans="1:5" x14ac:dyDescent="0.25">
      <c r="A61" s="2">
        <v>9</v>
      </c>
      <c r="B61" s="2" t="s">
        <v>33</v>
      </c>
      <c r="C61" s="2" t="s">
        <v>13</v>
      </c>
      <c r="D61" s="2"/>
      <c r="E61" s="2"/>
    </row>
    <row r="62" spans="1:5" x14ac:dyDescent="0.25">
      <c r="A62" s="2">
        <v>9</v>
      </c>
      <c r="B62" s="2" t="s">
        <v>33</v>
      </c>
      <c r="C62" s="2" t="s">
        <v>13</v>
      </c>
      <c r="D62" s="2"/>
      <c r="E62" s="2"/>
    </row>
    <row r="63" spans="1:5" x14ac:dyDescent="0.25">
      <c r="A63" s="2">
        <v>9</v>
      </c>
      <c r="B63" s="2" t="s">
        <v>33</v>
      </c>
      <c r="C63" s="2" t="s">
        <v>13</v>
      </c>
      <c r="D63" s="2"/>
      <c r="E63" s="2"/>
    </row>
    <row r="64" spans="1:5" x14ac:dyDescent="0.25">
      <c r="A64" s="11" t="s">
        <v>28</v>
      </c>
      <c r="B64" s="11" t="s">
        <v>27</v>
      </c>
      <c r="C64" s="11" t="s">
        <v>0</v>
      </c>
      <c r="D64" s="11" t="s">
        <v>1</v>
      </c>
      <c r="E64" s="11" t="s">
        <v>50</v>
      </c>
    </row>
    <row r="65" spans="1:5" x14ac:dyDescent="0.25">
      <c r="A65">
        <v>10</v>
      </c>
      <c r="B65" t="s">
        <v>34</v>
      </c>
      <c r="C65" t="s">
        <v>15</v>
      </c>
    </row>
    <row r="66" spans="1:5" x14ac:dyDescent="0.25">
      <c r="A66">
        <v>10</v>
      </c>
      <c r="B66" t="s">
        <v>34</v>
      </c>
      <c r="C66" t="s">
        <v>15</v>
      </c>
    </row>
    <row r="67" spans="1:5" x14ac:dyDescent="0.25">
      <c r="A67">
        <v>10</v>
      </c>
      <c r="B67" t="s">
        <v>34</v>
      </c>
      <c r="C67" t="s">
        <v>15</v>
      </c>
    </row>
    <row r="68" spans="1:5" x14ac:dyDescent="0.25">
      <c r="A68">
        <v>10</v>
      </c>
      <c r="B68" t="s">
        <v>34</v>
      </c>
      <c r="C68" t="s">
        <v>15</v>
      </c>
    </row>
    <row r="69" spans="1:5" x14ac:dyDescent="0.25">
      <c r="A69">
        <v>10</v>
      </c>
      <c r="B69" t="s">
        <v>34</v>
      </c>
      <c r="C69" t="s">
        <v>15</v>
      </c>
    </row>
    <row r="70" spans="1:5" x14ac:dyDescent="0.25">
      <c r="A70">
        <v>10</v>
      </c>
      <c r="B70" t="s">
        <v>34</v>
      </c>
      <c r="C70" t="s">
        <v>15</v>
      </c>
    </row>
    <row r="71" spans="1:5" x14ac:dyDescent="0.25">
      <c r="A71" s="11" t="s">
        <v>28</v>
      </c>
      <c r="B71" s="11" t="s">
        <v>27</v>
      </c>
      <c r="C71" s="11" t="s">
        <v>0</v>
      </c>
      <c r="D71" s="11" t="s">
        <v>1</v>
      </c>
      <c r="E71" s="11" t="s">
        <v>50</v>
      </c>
    </row>
    <row r="72" spans="1:5" x14ac:dyDescent="0.25">
      <c r="A72" s="2">
        <v>11</v>
      </c>
      <c r="B72" s="2" t="s">
        <v>35</v>
      </c>
      <c r="C72" s="2" t="s">
        <v>13</v>
      </c>
      <c r="D72" s="2"/>
      <c r="E72" s="2"/>
    </row>
    <row r="73" spans="1:5" x14ac:dyDescent="0.25">
      <c r="A73" s="2">
        <v>11</v>
      </c>
      <c r="B73" s="2" t="s">
        <v>35</v>
      </c>
      <c r="C73" s="2" t="s">
        <v>13</v>
      </c>
      <c r="D73" s="2"/>
      <c r="E73" s="2"/>
    </row>
    <row r="74" spans="1:5" x14ac:dyDescent="0.25">
      <c r="A74" s="2">
        <v>11</v>
      </c>
      <c r="B74" s="2" t="s">
        <v>35</v>
      </c>
      <c r="C74" s="2" t="s">
        <v>13</v>
      </c>
      <c r="D74" s="2"/>
      <c r="E74" s="2"/>
    </row>
    <row r="75" spans="1:5" x14ac:dyDescent="0.25">
      <c r="A75" s="2">
        <v>11</v>
      </c>
      <c r="B75" s="2" t="s">
        <v>35</v>
      </c>
      <c r="C75" s="2" t="s">
        <v>13</v>
      </c>
      <c r="D75" s="2"/>
      <c r="E75" s="2"/>
    </row>
    <row r="76" spans="1:5" x14ac:dyDescent="0.25">
      <c r="A76" s="2">
        <v>11</v>
      </c>
      <c r="B76" s="2" t="s">
        <v>35</v>
      </c>
      <c r="C76" s="2" t="s">
        <v>13</v>
      </c>
      <c r="D76" s="2"/>
      <c r="E76" s="2"/>
    </row>
    <row r="77" spans="1:5" x14ac:dyDescent="0.25">
      <c r="A77" s="2">
        <v>11</v>
      </c>
      <c r="B77" s="2" t="s">
        <v>35</v>
      </c>
      <c r="C77" s="2" t="s">
        <v>13</v>
      </c>
      <c r="D77" s="2"/>
      <c r="E77" s="2"/>
    </row>
    <row r="78" spans="1:5" x14ac:dyDescent="0.25">
      <c r="A78" s="11" t="s">
        <v>28</v>
      </c>
      <c r="B78" s="11" t="s">
        <v>27</v>
      </c>
      <c r="C78" s="11" t="s">
        <v>0</v>
      </c>
      <c r="D78" s="11" t="s">
        <v>1</v>
      </c>
      <c r="E78" s="11" t="s">
        <v>50</v>
      </c>
    </row>
    <row r="79" spans="1:5" x14ac:dyDescent="0.25">
      <c r="A79">
        <v>12</v>
      </c>
      <c r="B79" t="s">
        <v>36</v>
      </c>
      <c r="C79" t="s">
        <v>15</v>
      </c>
    </row>
    <row r="80" spans="1:5" x14ac:dyDescent="0.25">
      <c r="A80">
        <v>12</v>
      </c>
      <c r="B80" t="s">
        <v>36</v>
      </c>
      <c r="C80" t="s">
        <v>15</v>
      </c>
    </row>
    <row r="81" spans="1:5" x14ac:dyDescent="0.25">
      <c r="A81">
        <v>12</v>
      </c>
      <c r="B81" t="s">
        <v>36</v>
      </c>
      <c r="C81" t="s">
        <v>15</v>
      </c>
    </row>
    <row r="82" spans="1:5" x14ac:dyDescent="0.25">
      <c r="A82">
        <v>12</v>
      </c>
      <c r="B82" t="s">
        <v>36</v>
      </c>
      <c r="C82" t="s">
        <v>15</v>
      </c>
    </row>
    <row r="83" spans="1:5" x14ac:dyDescent="0.25">
      <c r="A83">
        <v>12</v>
      </c>
      <c r="B83" t="s">
        <v>36</v>
      </c>
      <c r="C83" t="s">
        <v>15</v>
      </c>
    </row>
    <row r="84" spans="1:5" x14ac:dyDescent="0.25">
      <c r="A84">
        <v>12</v>
      </c>
      <c r="B84" t="s">
        <v>36</v>
      </c>
      <c r="C84" t="s">
        <v>15</v>
      </c>
    </row>
    <row r="85" spans="1:5" x14ac:dyDescent="0.25">
      <c r="A85" s="11" t="s">
        <v>28</v>
      </c>
      <c r="B85" s="11" t="s">
        <v>27</v>
      </c>
      <c r="C85" s="11" t="s">
        <v>0</v>
      </c>
      <c r="D85" s="11" t="s">
        <v>1</v>
      </c>
      <c r="E85" s="11" t="s">
        <v>50</v>
      </c>
    </row>
    <row r="86" spans="1:5" x14ac:dyDescent="0.25">
      <c r="A86" s="2">
        <v>13</v>
      </c>
      <c r="B86" s="2" t="s">
        <v>37</v>
      </c>
      <c r="C86" s="2" t="s">
        <v>13</v>
      </c>
      <c r="D86" s="2"/>
      <c r="E86" s="2"/>
    </row>
    <row r="87" spans="1:5" x14ac:dyDescent="0.25">
      <c r="A87" s="2">
        <v>13</v>
      </c>
      <c r="B87" s="2" t="s">
        <v>37</v>
      </c>
      <c r="C87" s="2" t="s">
        <v>13</v>
      </c>
      <c r="D87" s="2"/>
      <c r="E87" s="2"/>
    </row>
    <row r="88" spans="1:5" x14ac:dyDescent="0.25">
      <c r="A88" s="2">
        <v>13</v>
      </c>
      <c r="B88" s="2" t="s">
        <v>37</v>
      </c>
      <c r="C88" s="2" t="s">
        <v>13</v>
      </c>
      <c r="D88" s="2"/>
      <c r="E88" s="2"/>
    </row>
    <row r="89" spans="1:5" x14ac:dyDescent="0.25">
      <c r="A89" s="2">
        <v>13</v>
      </c>
      <c r="B89" s="2" t="s">
        <v>37</v>
      </c>
      <c r="C89" s="2" t="s">
        <v>13</v>
      </c>
      <c r="D89" s="2"/>
      <c r="E89" s="2"/>
    </row>
    <row r="90" spans="1:5" x14ac:dyDescent="0.25">
      <c r="A90" s="2">
        <v>13</v>
      </c>
      <c r="B90" s="2" t="s">
        <v>37</v>
      </c>
      <c r="C90" s="2" t="s">
        <v>13</v>
      </c>
      <c r="D90" s="2"/>
      <c r="E90" s="2"/>
    </row>
    <row r="91" spans="1:5" x14ac:dyDescent="0.25">
      <c r="A91" s="2">
        <v>13</v>
      </c>
      <c r="B91" s="2" t="s">
        <v>37</v>
      </c>
      <c r="C91" s="2" t="s">
        <v>13</v>
      </c>
      <c r="D91" s="2"/>
      <c r="E91" s="2"/>
    </row>
    <row r="92" spans="1:5" x14ac:dyDescent="0.25">
      <c r="A92" s="11" t="s">
        <v>28</v>
      </c>
      <c r="B92" s="11" t="s">
        <v>27</v>
      </c>
      <c r="C92" s="11" t="s">
        <v>0</v>
      </c>
      <c r="D92" s="11" t="s">
        <v>1</v>
      </c>
      <c r="E92" s="11" t="s">
        <v>50</v>
      </c>
    </row>
    <row r="93" spans="1:5" x14ac:dyDescent="0.25">
      <c r="A93">
        <v>14</v>
      </c>
      <c r="B93" t="s">
        <v>12</v>
      </c>
      <c r="C93" t="s">
        <v>15</v>
      </c>
    </row>
    <row r="94" spans="1:5" x14ac:dyDescent="0.25">
      <c r="A94">
        <v>14</v>
      </c>
      <c r="B94" t="s">
        <v>12</v>
      </c>
      <c r="C94" t="s">
        <v>15</v>
      </c>
    </row>
    <row r="95" spans="1:5" x14ac:dyDescent="0.25">
      <c r="A95">
        <v>14</v>
      </c>
      <c r="B95" t="s">
        <v>12</v>
      </c>
      <c r="C95" t="s">
        <v>15</v>
      </c>
    </row>
    <row r="96" spans="1:5" x14ac:dyDescent="0.25">
      <c r="A96">
        <v>14</v>
      </c>
      <c r="B96" t="s">
        <v>12</v>
      </c>
      <c r="C96" t="s">
        <v>15</v>
      </c>
    </row>
    <row r="97" spans="1:5" x14ac:dyDescent="0.25">
      <c r="A97">
        <v>14</v>
      </c>
      <c r="B97" t="s">
        <v>12</v>
      </c>
      <c r="C97" t="s">
        <v>15</v>
      </c>
    </row>
    <row r="98" spans="1:5" x14ac:dyDescent="0.25">
      <c r="A98">
        <v>14</v>
      </c>
      <c r="B98" t="s">
        <v>12</v>
      </c>
      <c r="C98" t="s">
        <v>15</v>
      </c>
    </row>
    <row r="99" spans="1:5" x14ac:dyDescent="0.25">
      <c r="A99" s="11" t="s">
        <v>28</v>
      </c>
      <c r="B99" s="11" t="s">
        <v>27</v>
      </c>
      <c r="C99" s="11" t="s">
        <v>0</v>
      </c>
      <c r="D99" s="11" t="s">
        <v>1</v>
      </c>
      <c r="E99" s="11" t="s">
        <v>50</v>
      </c>
    </row>
    <row r="100" spans="1:5" x14ac:dyDescent="0.25">
      <c r="A100" s="2">
        <v>15</v>
      </c>
      <c r="B100" s="2" t="s">
        <v>14</v>
      </c>
      <c r="C100" s="2" t="s">
        <v>13</v>
      </c>
      <c r="D100" s="2"/>
      <c r="E100" s="2"/>
    </row>
    <row r="101" spans="1:5" x14ac:dyDescent="0.25">
      <c r="A101" s="2">
        <v>15</v>
      </c>
      <c r="B101" s="2" t="s">
        <v>14</v>
      </c>
      <c r="C101" s="2" t="s">
        <v>13</v>
      </c>
      <c r="D101" s="2"/>
      <c r="E101" s="2"/>
    </row>
    <row r="102" spans="1:5" x14ac:dyDescent="0.25">
      <c r="A102" s="2">
        <v>15</v>
      </c>
      <c r="B102" s="2" t="s">
        <v>14</v>
      </c>
      <c r="C102" s="2" t="s">
        <v>13</v>
      </c>
      <c r="D102" s="2"/>
      <c r="E102" s="2"/>
    </row>
    <row r="103" spans="1:5" x14ac:dyDescent="0.25">
      <c r="A103" s="2">
        <v>15</v>
      </c>
      <c r="B103" s="2" t="s">
        <v>14</v>
      </c>
      <c r="C103" s="2" t="s">
        <v>13</v>
      </c>
      <c r="D103" s="2"/>
      <c r="E103" s="2"/>
    </row>
    <row r="104" spans="1:5" x14ac:dyDescent="0.25">
      <c r="A104" s="2">
        <v>15</v>
      </c>
      <c r="B104" s="2" t="s">
        <v>14</v>
      </c>
      <c r="C104" s="2" t="s">
        <v>13</v>
      </c>
      <c r="D104" s="2"/>
      <c r="E104" s="2"/>
    </row>
    <row r="105" spans="1:5" x14ac:dyDescent="0.25">
      <c r="A105" s="2">
        <v>15</v>
      </c>
      <c r="B105" s="2" t="s">
        <v>14</v>
      </c>
      <c r="C105" s="2" t="s">
        <v>13</v>
      </c>
      <c r="D105" s="2"/>
      <c r="E105" s="2"/>
    </row>
    <row r="106" spans="1:5" x14ac:dyDescent="0.25">
      <c r="A106" s="11" t="s">
        <v>28</v>
      </c>
      <c r="B106" s="11" t="s">
        <v>27</v>
      </c>
      <c r="C106" s="11" t="s">
        <v>0</v>
      </c>
      <c r="D106" s="11" t="s">
        <v>1</v>
      </c>
      <c r="E106" s="11" t="s">
        <v>50</v>
      </c>
    </row>
    <row r="107" spans="1:5" x14ac:dyDescent="0.25">
      <c r="A107">
        <v>16</v>
      </c>
      <c r="B107" t="s">
        <v>16</v>
      </c>
      <c r="C107" t="s">
        <v>15</v>
      </c>
    </row>
    <row r="108" spans="1:5" x14ac:dyDescent="0.25">
      <c r="A108">
        <v>16</v>
      </c>
      <c r="B108" t="s">
        <v>16</v>
      </c>
      <c r="C108" t="s">
        <v>15</v>
      </c>
    </row>
    <row r="109" spans="1:5" x14ac:dyDescent="0.25">
      <c r="A109">
        <v>16</v>
      </c>
      <c r="B109" t="s">
        <v>16</v>
      </c>
      <c r="C109" t="s">
        <v>15</v>
      </c>
    </row>
    <row r="110" spans="1:5" x14ac:dyDescent="0.25">
      <c r="A110">
        <v>16</v>
      </c>
      <c r="B110" t="s">
        <v>16</v>
      </c>
      <c r="C110" t="s">
        <v>15</v>
      </c>
    </row>
    <row r="111" spans="1:5" x14ac:dyDescent="0.25">
      <c r="A111">
        <v>16</v>
      </c>
      <c r="B111" t="s">
        <v>16</v>
      </c>
      <c r="C111" t="s">
        <v>15</v>
      </c>
    </row>
    <row r="112" spans="1:5" x14ac:dyDescent="0.25">
      <c r="A112">
        <v>16</v>
      </c>
      <c r="B112" t="s">
        <v>16</v>
      </c>
      <c r="C112" t="s">
        <v>15</v>
      </c>
    </row>
    <row r="113" spans="1:5" x14ac:dyDescent="0.25">
      <c r="A113" s="11" t="s">
        <v>28</v>
      </c>
      <c r="B113" s="11" t="s">
        <v>27</v>
      </c>
      <c r="C113" s="11" t="s">
        <v>0</v>
      </c>
      <c r="D113" s="11" t="s">
        <v>1</v>
      </c>
      <c r="E113" s="11" t="s">
        <v>50</v>
      </c>
    </row>
    <row r="114" spans="1:5" x14ac:dyDescent="0.25">
      <c r="A114" s="2">
        <v>17</v>
      </c>
      <c r="B114" s="2" t="s">
        <v>17</v>
      </c>
      <c r="C114" s="2" t="s">
        <v>13</v>
      </c>
      <c r="D114" s="2"/>
      <c r="E114" s="2"/>
    </row>
    <row r="115" spans="1:5" x14ac:dyDescent="0.25">
      <c r="A115" s="2">
        <v>17</v>
      </c>
      <c r="B115" s="2" t="s">
        <v>17</v>
      </c>
      <c r="C115" s="2" t="s">
        <v>13</v>
      </c>
      <c r="D115" s="2"/>
      <c r="E115" s="2"/>
    </row>
    <row r="116" spans="1:5" x14ac:dyDescent="0.25">
      <c r="A116" s="2">
        <v>17</v>
      </c>
      <c r="B116" s="2" t="s">
        <v>17</v>
      </c>
      <c r="C116" s="2" t="s">
        <v>13</v>
      </c>
      <c r="D116" s="2"/>
      <c r="E116" s="2"/>
    </row>
    <row r="117" spans="1:5" x14ac:dyDescent="0.25">
      <c r="A117" s="2">
        <v>17</v>
      </c>
      <c r="B117" s="2" t="s">
        <v>17</v>
      </c>
      <c r="C117" s="2" t="s">
        <v>13</v>
      </c>
      <c r="D117" s="2"/>
      <c r="E117" s="2"/>
    </row>
    <row r="118" spans="1:5" x14ac:dyDescent="0.25">
      <c r="A118" s="2">
        <v>17</v>
      </c>
      <c r="B118" s="2" t="s">
        <v>17</v>
      </c>
      <c r="C118" s="2" t="s">
        <v>13</v>
      </c>
      <c r="D118" s="2"/>
      <c r="E118" s="2"/>
    </row>
    <row r="119" spans="1:5" x14ac:dyDescent="0.25">
      <c r="A119" s="2">
        <v>17</v>
      </c>
      <c r="B119" s="2" t="s">
        <v>17</v>
      </c>
      <c r="C119" s="2" t="s">
        <v>13</v>
      </c>
      <c r="D119" s="2"/>
      <c r="E119" s="2"/>
    </row>
    <row r="120" spans="1:5" x14ac:dyDescent="0.25">
      <c r="A120" s="11" t="s">
        <v>28</v>
      </c>
      <c r="B120" s="11" t="s">
        <v>27</v>
      </c>
      <c r="C120" s="11" t="s">
        <v>0</v>
      </c>
      <c r="D120" s="11" t="s">
        <v>1</v>
      </c>
      <c r="E120" s="11" t="s">
        <v>50</v>
      </c>
    </row>
    <row r="121" spans="1:5" x14ac:dyDescent="0.25">
      <c r="A121">
        <v>18</v>
      </c>
      <c r="B121" t="s">
        <v>29</v>
      </c>
    </row>
    <row r="122" spans="1:5" x14ac:dyDescent="0.25">
      <c r="A122">
        <v>18</v>
      </c>
      <c r="B122" t="s">
        <v>29</v>
      </c>
    </row>
    <row r="123" spans="1:5" x14ac:dyDescent="0.25">
      <c r="A123">
        <v>18</v>
      </c>
      <c r="B123" t="s">
        <v>29</v>
      </c>
    </row>
    <row r="124" spans="1:5" x14ac:dyDescent="0.25">
      <c r="A124">
        <v>18</v>
      </c>
      <c r="B124" t="s">
        <v>29</v>
      </c>
    </row>
    <row r="125" spans="1:5" x14ac:dyDescent="0.25">
      <c r="A125">
        <v>18</v>
      </c>
      <c r="B125" t="s">
        <v>29</v>
      </c>
    </row>
    <row r="126" spans="1:5" x14ac:dyDescent="0.25">
      <c r="A126">
        <v>18</v>
      </c>
      <c r="B126" t="s">
        <v>29</v>
      </c>
    </row>
    <row r="127" spans="1:5" x14ac:dyDescent="0.25">
      <c r="A127" s="11" t="s">
        <v>28</v>
      </c>
      <c r="B127" s="11" t="s">
        <v>27</v>
      </c>
      <c r="C127" s="11" t="s">
        <v>0</v>
      </c>
      <c r="D127" s="11" t="s">
        <v>1</v>
      </c>
      <c r="E127" s="11" t="s">
        <v>50</v>
      </c>
    </row>
    <row r="128" spans="1:5" x14ac:dyDescent="0.25">
      <c r="A128" s="2">
        <v>19</v>
      </c>
      <c r="B128" s="2" t="s">
        <v>30</v>
      </c>
      <c r="C128" s="2" t="s">
        <v>15</v>
      </c>
      <c r="D128" s="2"/>
      <c r="E128" s="2"/>
    </row>
    <row r="129" spans="1:5" x14ac:dyDescent="0.25">
      <c r="A129" s="2">
        <v>19</v>
      </c>
      <c r="B129" s="2" t="s">
        <v>30</v>
      </c>
      <c r="C129" s="2" t="s">
        <v>15</v>
      </c>
      <c r="D129" s="2"/>
      <c r="E129" s="2"/>
    </row>
    <row r="130" spans="1:5" x14ac:dyDescent="0.25">
      <c r="A130" s="2">
        <v>19</v>
      </c>
      <c r="B130" s="2" t="s">
        <v>30</v>
      </c>
      <c r="C130" s="2" t="s">
        <v>15</v>
      </c>
      <c r="D130" s="2"/>
      <c r="E130" s="2"/>
    </row>
    <row r="131" spans="1:5" x14ac:dyDescent="0.25">
      <c r="A131" s="2">
        <v>19</v>
      </c>
      <c r="B131" s="2" t="s">
        <v>30</v>
      </c>
      <c r="C131" s="2" t="s">
        <v>15</v>
      </c>
      <c r="D131" s="2"/>
      <c r="E131" s="2"/>
    </row>
    <row r="132" spans="1:5" x14ac:dyDescent="0.25">
      <c r="A132" s="2">
        <v>19</v>
      </c>
      <c r="B132" s="2" t="s">
        <v>30</v>
      </c>
      <c r="C132" s="2" t="s">
        <v>15</v>
      </c>
      <c r="D132" s="2"/>
      <c r="E132" s="2"/>
    </row>
    <row r="133" spans="1:5" x14ac:dyDescent="0.25">
      <c r="A133" s="2">
        <v>19</v>
      </c>
      <c r="B133" s="2" t="s">
        <v>30</v>
      </c>
      <c r="C133" s="2" t="s">
        <v>15</v>
      </c>
      <c r="D133" s="2"/>
      <c r="E133" s="2"/>
    </row>
    <row r="134" spans="1:5" x14ac:dyDescent="0.25">
      <c r="A134" s="11" t="s">
        <v>28</v>
      </c>
      <c r="B134" s="11" t="s">
        <v>27</v>
      </c>
      <c r="C134" s="11" t="s">
        <v>0</v>
      </c>
      <c r="D134" s="11" t="s">
        <v>1</v>
      </c>
      <c r="E134" s="11" t="s">
        <v>50</v>
      </c>
    </row>
    <row r="135" spans="1:5" x14ac:dyDescent="0.25">
      <c r="A135">
        <v>20</v>
      </c>
      <c r="B135" t="s">
        <v>31</v>
      </c>
      <c r="C135" t="s">
        <v>13</v>
      </c>
    </row>
    <row r="136" spans="1:5" x14ac:dyDescent="0.25">
      <c r="A136">
        <v>20</v>
      </c>
      <c r="B136" t="s">
        <v>31</v>
      </c>
      <c r="C136" t="s">
        <v>13</v>
      </c>
    </row>
    <row r="137" spans="1:5" x14ac:dyDescent="0.25">
      <c r="A137">
        <v>20</v>
      </c>
      <c r="B137" t="s">
        <v>31</v>
      </c>
      <c r="C137" t="s">
        <v>13</v>
      </c>
    </row>
    <row r="138" spans="1:5" x14ac:dyDescent="0.25">
      <c r="A138">
        <v>20</v>
      </c>
      <c r="B138" t="s">
        <v>31</v>
      </c>
      <c r="C138" t="s">
        <v>13</v>
      </c>
    </row>
    <row r="139" spans="1:5" x14ac:dyDescent="0.25">
      <c r="A139">
        <v>20</v>
      </c>
      <c r="B139" t="s">
        <v>31</v>
      </c>
      <c r="C139" t="s">
        <v>13</v>
      </c>
    </row>
    <row r="140" spans="1:5" x14ac:dyDescent="0.25">
      <c r="A140">
        <v>20</v>
      </c>
      <c r="B140" t="s">
        <v>31</v>
      </c>
      <c r="C140" t="s">
        <v>13</v>
      </c>
    </row>
    <row r="141" spans="1:5" x14ac:dyDescent="0.25">
      <c r="A141" s="11" t="s">
        <v>28</v>
      </c>
      <c r="B141" s="11" t="s">
        <v>27</v>
      </c>
      <c r="C141" s="11" t="s">
        <v>0</v>
      </c>
      <c r="D141" s="11" t="s">
        <v>1</v>
      </c>
      <c r="E141" s="11" t="s">
        <v>50</v>
      </c>
    </row>
    <row r="142" spans="1:5" x14ac:dyDescent="0.25">
      <c r="A142" s="2">
        <v>21</v>
      </c>
      <c r="B142" s="2" t="s">
        <v>32</v>
      </c>
      <c r="C142" s="2" t="s">
        <v>13</v>
      </c>
      <c r="D142" s="2"/>
      <c r="E142" s="2"/>
    </row>
    <row r="143" spans="1:5" x14ac:dyDescent="0.25">
      <c r="A143" s="2">
        <v>21</v>
      </c>
      <c r="B143" s="2" t="s">
        <v>32</v>
      </c>
      <c r="C143" s="2" t="s">
        <v>13</v>
      </c>
      <c r="D143" s="2"/>
      <c r="E143" s="2"/>
    </row>
    <row r="144" spans="1:5" x14ac:dyDescent="0.25">
      <c r="A144" s="2">
        <v>21</v>
      </c>
      <c r="B144" s="2" t="s">
        <v>32</v>
      </c>
      <c r="C144" s="2" t="s">
        <v>13</v>
      </c>
      <c r="D144" s="2"/>
      <c r="E144" s="2"/>
    </row>
    <row r="145" spans="1:5" x14ac:dyDescent="0.25">
      <c r="A145" s="2">
        <v>21</v>
      </c>
      <c r="B145" s="2" t="s">
        <v>32</v>
      </c>
      <c r="C145" s="2" t="s">
        <v>13</v>
      </c>
      <c r="D145" s="2"/>
      <c r="E145" s="2"/>
    </row>
    <row r="146" spans="1:5" x14ac:dyDescent="0.25">
      <c r="A146" s="2">
        <v>21</v>
      </c>
      <c r="B146" s="2" t="s">
        <v>32</v>
      </c>
      <c r="C146" s="2" t="s">
        <v>13</v>
      </c>
      <c r="D146" s="2"/>
      <c r="E146" s="2"/>
    </row>
    <row r="147" spans="1:5" x14ac:dyDescent="0.25">
      <c r="A147" s="2">
        <v>21</v>
      </c>
      <c r="B147" s="2" t="s">
        <v>32</v>
      </c>
      <c r="C147" s="2" t="s">
        <v>13</v>
      </c>
      <c r="D147" s="2"/>
      <c r="E147" s="2"/>
    </row>
    <row r="148" spans="1:5" x14ac:dyDescent="0.25">
      <c r="A148" s="11" t="s">
        <v>28</v>
      </c>
      <c r="B148" s="11" t="s">
        <v>27</v>
      </c>
      <c r="C148" s="11" t="s">
        <v>0</v>
      </c>
      <c r="D148" s="11" t="s">
        <v>1</v>
      </c>
      <c r="E148" s="11" t="s">
        <v>50</v>
      </c>
    </row>
    <row r="149" spans="1:5" x14ac:dyDescent="0.25">
      <c r="A149">
        <v>22</v>
      </c>
      <c r="B149" t="s">
        <v>33</v>
      </c>
      <c r="C149" t="s">
        <v>15</v>
      </c>
    </row>
    <row r="150" spans="1:5" x14ac:dyDescent="0.25">
      <c r="A150">
        <v>22</v>
      </c>
      <c r="B150" t="s">
        <v>33</v>
      </c>
      <c r="C150" t="s">
        <v>15</v>
      </c>
    </row>
    <row r="151" spans="1:5" x14ac:dyDescent="0.25">
      <c r="A151">
        <v>22</v>
      </c>
      <c r="B151" t="s">
        <v>33</v>
      </c>
      <c r="C151" t="s">
        <v>15</v>
      </c>
    </row>
    <row r="152" spans="1:5" x14ac:dyDescent="0.25">
      <c r="A152">
        <v>22</v>
      </c>
      <c r="B152" t="s">
        <v>33</v>
      </c>
      <c r="C152" t="s">
        <v>15</v>
      </c>
    </row>
    <row r="153" spans="1:5" x14ac:dyDescent="0.25">
      <c r="A153">
        <v>22</v>
      </c>
      <c r="B153" t="s">
        <v>33</v>
      </c>
      <c r="C153" t="s">
        <v>15</v>
      </c>
    </row>
    <row r="154" spans="1:5" x14ac:dyDescent="0.25">
      <c r="A154">
        <v>22</v>
      </c>
      <c r="B154" t="s">
        <v>33</v>
      </c>
      <c r="C154" t="s">
        <v>15</v>
      </c>
    </row>
    <row r="155" spans="1:5" x14ac:dyDescent="0.25">
      <c r="A155" s="11" t="s">
        <v>28</v>
      </c>
      <c r="B155" s="11" t="s">
        <v>27</v>
      </c>
      <c r="C155" s="11" t="s">
        <v>0</v>
      </c>
      <c r="D155" s="11" t="s">
        <v>1</v>
      </c>
      <c r="E155" s="11" t="s">
        <v>50</v>
      </c>
    </row>
    <row r="156" spans="1:5" x14ac:dyDescent="0.25">
      <c r="A156" s="2">
        <v>23</v>
      </c>
      <c r="B156" s="2" t="s">
        <v>34</v>
      </c>
      <c r="C156" s="2" t="s">
        <v>13</v>
      </c>
      <c r="D156" s="2"/>
      <c r="E156" s="2"/>
    </row>
    <row r="157" spans="1:5" x14ac:dyDescent="0.25">
      <c r="A157" s="2">
        <v>23</v>
      </c>
      <c r="B157" s="2" t="s">
        <v>34</v>
      </c>
      <c r="C157" s="2" t="s">
        <v>13</v>
      </c>
      <c r="D157" s="2"/>
      <c r="E157" s="2"/>
    </row>
    <row r="158" spans="1:5" x14ac:dyDescent="0.25">
      <c r="A158" s="2">
        <v>23</v>
      </c>
      <c r="B158" s="2" t="s">
        <v>34</v>
      </c>
      <c r="C158" s="2" t="s">
        <v>13</v>
      </c>
      <c r="D158" s="2"/>
      <c r="E158" s="2"/>
    </row>
    <row r="159" spans="1:5" x14ac:dyDescent="0.25">
      <c r="A159" s="2">
        <v>23</v>
      </c>
      <c r="B159" s="2" t="s">
        <v>34</v>
      </c>
      <c r="C159" s="2" t="s">
        <v>13</v>
      </c>
      <c r="D159" s="2"/>
      <c r="E159" s="2"/>
    </row>
    <row r="160" spans="1:5" x14ac:dyDescent="0.25">
      <c r="A160" s="2">
        <v>23</v>
      </c>
      <c r="B160" s="2" t="s">
        <v>34</v>
      </c>
      <c r="C160" s="2" t="s">
        <v>13</v>
      </c>
      <c r="D160" s="2"/>
      <c r="E160" s="2"/>
    </row>
    <row r="161" spans="1:5" x14ac:dyDescent="0.25">
      <c r="A161" s="2">
        <v>23</v>
      </c>
      <c r="B161" s="2" t="s">
        <v>34</v>
      </c>
      <c r="C161" s="2" t="s">
        <v>13</v>
      </c>
      <c r="D161" s="2"/>
      <c r="E161" s="2"/>
    </row>
    <row r="162" spans="1:5" x14ac:dyDescent="0.25">
      <c r="A162" s="11" t="s">
        <v>28</v>
      </c>
      <c r="B162" s="11" t="s">
        <v>27</v>
      </c>
      <c r="C162" s="11" t="s">
        <v>0</v>
      </c>
      <c r="D162" s="11" t="s">
        <v>1</v>
      </c>
      <c r="E162" s="11" t="s">
        <v>50</v>
      </c>
    </row>
    <row r="163" spans="1:5" x14ac:dyDescent="0.25">
      <c r="A163">
        <v>24</v>
      </c>
      <c r="B163" t="s">
        <v>35</v>
      </c>
      <c r="C163" t="s">
        <v>15</v>
      </c>
    </row>
    <row r="164" spans="1:5" x14ac:dyDescent="0.25">
      <c r="A164">
        <v>24</v>
      </c>
      <c r="B164" t="s">
        <v>35</v>
      </c>
      <c r="C164" t="s">
        <v>15</v>
      </c>
    </row>
    <row r="165" spans="1:5" x14ac:dyDescent="0.25">
      <c r="A165">
        <v>24</v>
      </c>
      <c r="B165" t="s">
        <v>35</v>
      </c>
      <c r="C165" t="s">
        <v>15</v>
      </c>
    </row>
    <row r="166" spans="1:5" x14ac:dyDescent="0.25">
      <c r="A166">
        <v>24</v>
      </c>
      <c r="B166" t="s">
        <v>35</v>
      </c>
      <c r="C166" t="s">
        <v>15</v>
      </c>
    </row>
    <row r="167" spans="1:5" x14ac:dyDescent="0.25">
      <c r="A167">
        <v>24</v>
      </c>
      <c r="B167" t="s">
        <v>35</v>
      </c>
      <c r="C167" t="s">
        <v>15</v>
      </c>
    </row>
    <row r="168" spans="1:5" x14ac:dyDescent="0.25">
      <c r="A168">
        <v>24</v>
      </c>
      <c r="B168" t="s">
        <v>35</v>
      </c>
      <c r="C168" t="s">
        <v>15</v>
      </c>
    </row>
    <row r="169" spans="1:5" x14ac:dyDescent="0.25">
      <c r="A169" s="11" t="s">
        <v>28</v>
      </c>
      <c r="B169" s="11" t="s">
        <v>27</v>
      </c>
      <c r="C169" s="11" t="s">
        <v>0</v>
      </c>
      <c r="D169" s="11" t="s">
        <v>1</v>
      </c>
      <c r="E169" s="11" t="s">
        <v>50</v>
      </c>
    </row>
    <row r="170" spans="1:5" x14ac:dyDescent="0.25">
      <c r="A170" s="2">
        <v>25</v>
      </c>
      <c r="B170" s="2" t="s">
        <v>36</v>
      </c>
      <c r="C170" s="2" t="s">
        <v>13</v>
      </c>
      <c r="D170" s="2"/>
      <c r="E170" s="2"/>
    </row>
    <row r="171" spans="1:5" x14ac:dyDescent="0.25">
      <c r="A171" s="2">
        <v>25</v>
      </c>
      <c r="B171" s="2" t="s">
        <v>36</v>
      </c>
      <c r="C171" s="2" t="s">
        <v>13</v>
      </c>
      <c r="D171" s="2"/>
      <c r="E171" s="2"/>
    </row>
    <row r="172" spans="1:5" x14ac:dyDescent="0.25">
      <c r="A172" s="2">
        <v>25</v>
      </c>
      <c r="B172" s="2" t="s">
        <v>36</v>
      </c>
      <c r="C172" s="2" t="s">
        <v>13</v>
      </c>
      <c r="D172" s="2"/>
      <c r="E172" s="2"/>
    </row>
    <row r="173" spans="1:5" x14ac:dyDescent="0.25">
      <c r="A173" s="2">
        <v>25</v>
      </c>
      <c r="B173" s="2" t="s">
        <v>36</v>
      </c>
      <c r="C173" s="2" t="s">
        <v>13</v>
      </c>
      <c r="D173" s="2"/>
      <c r="E173" s="2"/>
    </row>
    <row r="174" spans="1:5" x14ac:dyDescent="0.25">
      <c r="A174" s="2">
        <v>25</v>
      </c>
      <c r="B174" s="2" t="s">
        <v>36</v>
      </c>
      <c r="C174" s="2" t="s">
        <v>13</v>
      </c>
      <c r="D174" s="2"/>
      <c r="E174" s="2"/>
    </row>
    <row r="175" spans="1:5" x14ac:dyDescent="0.25">
      <c r="A175" s="2">
        <v>25</v>
      </c>
      <c r="B175" s="2" t="s">
        <v>36</v>
      </c>
      <c r="C175" s="2" t="s">
        <v>13</v>
      </c>
      <c r="D175" s="2"/>
      <c r="E175" s="2"/>
    </row>
    <row r="176" spans="1:5" x14ac:dyDescent="0.25">
      <c r="A176" s="11" t="s">
        <v>28</v>
      </c>
      <c r="B176" s="11" t="s">
        <v>27</v>
      </c>
      <c r="C176" s="11" t="s">
        <v>0</v>
      </c>
      <c r="D176" s="11" t="s">
        <v>1</v>
      </c>
      <c r="E176" s="11" t="s">
        <v>50</v>
      </c>
    </row>
    <row r="177" spans="1:3" x14ac:dyDescent="0.25">
      <c r="A177">
        <v>26</v>
      </c>
      <c r="B177" t="s">
        <v>37</v>
      </c>
      <c r="C177" t="s">
        <v>15</v>
      </c>
    </row>
    <row r="178" spans="1:3" x14ac:dyDescent="0.25">
      <c r="A178">
        <v>26</v>
      </c>
      <c r="B178" t="s">
        <v>37</v>
      </c>
      <c r="C178" t="s">
        <v>15</v>
      </c>
    </row>
    <row r="179" spans="1:3" x14ac:dyDescent="0.25">
      <c r="A179">
        <v>26</v>
      </c>
      <c r="B179" t="s">
        <v>37</v>
      </c>
      <c r="C179" t="s">
        <v>15</v>
      </c>
    </row>
    <row r="180" spans="1:3" x14ac:dyDescent="0.25">
      <c r="A180">
        <v>26</v>
      </c>
      <c r="B180" t="s">
        <v>37</v>
      </c>
      <c r="C180" t="s">
        <v>15</v>
      </c>
    </row>
    <row r="181" spans="1:3" x14ac:dyDescent="0.25">
      <c r="A181">
        <v>26</v>
      </c>
      <c r="B181" t="s">
        <v>37</v>
      </c>
      <c r="C181" t="s">
        <v>15</v>
      </c>
    </row>
    <row r="182" spans="1:3" x14ac:dyDescent="0.25">
      <c r="A182">
        <v>26</v>
      </c>
      <c r="B182" t="s">
        <v>37</v>
      </c>
      <c r="C182" t="s">
        <v>15</v>
      </c>
    </row>
  </sheetData>
  <sortState xmlns:xlrd2="http://schemas.microsoft.com/office/spreadsheetml/2017/richdata2" ref="A23:E28">
    <sortCondition descending="1" ref="E23:E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Scores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Haigh</dc:creator>
  <cp:lastModifiedBy>Matthew Haigh</cp:lastModifiedBy>
  <dcterms:created xsi:type="dcterms:W3CDTF">2026-09-28T08:53:30Z</dcterms:created>
  <dcterms:modified xsi:type="dcterms:W3CDTF">2026-10-03T10:05:53Z</dcterms:modified>
</cp:coreProperties>
</file>